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git\holiday-adjuster\"/>
    </mc:Choice>
  </mc:AlternateContent>
  <xr:revisionPtr revIDLastSave="0" documentId="13_ncr:1_{8EF75C4F-1847-45FB-926F-E841F70F327F}" xr6:coauthVersionLast="47" xr6:coauthVersionMax="47" xr10:uidLastSave="{00000000-0000-0000-0000-000000000000}"/>
  <bookViews>
    <workbookView xWindow="-98" yWindow="-98" windowWidth="19396" windowHeight="11475" xr2:uid="{F432AF42-8D53-468E-94B9-77F58986C2AF}"/>
  </bookViews>
  <sheets>
    <sheet name="Sample" sheetId="2" r:id="rId1"/>
    <sheet name="Calendar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2" l="1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B3" i="2"/>
  <c r="E3" i="2" s="1"/>
  <c r="E7" i="2" s="1"/>
  <c r="D15" i="1"/>
  <c r="C15" i="1"/>
  <c r="H7" i="2" a="1"/>
  <c r="G4" i="2" a="1"/>
  <c r="E17" i="2" l="1"/>
  <c r="E12" i="2"/>
  <c r="E23" i="2"/>
  <c r="E11" i="2"/>
  <c r="E22" i="2"/>
  <c r="E10" i="2"/>
  <c r="E15" i="2"/>
  <c r="E13" i="2"/>
  <c r="E21" i="2"/>
  <c r="E9" i="2"/>
  <c r="E20" i="2"/>
  <c r="E8" i="2"/>
  <c r="E19" i="2"/>
  <c r="E16" i="2"/>
  <c r="E14" i="2"/>
  <c r="E18" i="2"/>
  <c r="H7" i="2"/>
  <c r="G8" i="2" s="1"/>
  <c r="G4" i="2"/>
  <c r="E6" i="2"/>
  <c r="E5" i="2"/>
  <c r="E4" i="2"/>
  <c r="H5" i="2" a="1"/>
  <c r="H10" i="2" a="1"/>
  <c r="H4" i="2" a="1"/>
  <c r="H20" i="2" a="1"/>
  <c r="H15" i="2" a="1"/>
  <c r="H16" i="2" a="1"/>
  <c r="H13" i="2" a="1"/>
  <c r="H6" i="2" a="1"/>
  <c r="H9" i="2" a="1"/>
  <c r="F8" i="2" a="1"/>
  <c r="H8" i="2" a="1"/>
  <c r="F4" i="2" a="1"/>
  <c r="H12" i="2" a="1"/>
  <c r="H23" i="2" a="1"/>
  <c r="H22" i="2" a="1"/>
  <c r="H17" i="2" a="1"/>
  <c r="H21" i="2" a="1"/>
  <c r="H11" i="2" a="1"/>
  <c r="H19" i="2" a="1"/>
  <c r="H18" i="2" a="1"/>
  <c r="H14" i="2" a="1"/>
  <c r="H17" i="2" l="1"/>
  <c r="G18" i="2" s="1"/>
  <c r="H6" i="2"/>
  <c r="G7" i="2" s="1"/>
  <c r="H16" i="2"/>
  <c r="G17" i="2" s="1"/>
  <c r="H20" i="2"/>
  <c r="G21" i="2" s="1"/>
  <c r="H10" i="2"/>
  <c r="G11" i="2" s="1"/>
  <c r="H14" i="2"/>
  <c r="G15" i="2" s="1"/>
  <c r="H19" i="2"/>
  <c r="G20" i="2" s="1"/>
  <c r="H21" i="2"/>
  <c r="G22" i="2" s="1"/>
  <c r="H22" i="2"/>
  <c r="G23" i="2" s="1"/>
  <c r="H23" i="2"/>
  <c r="H12" i="2"/>
  <c r="G13" i="2" s="1"/>
  <c r="H8" i="2"/>
  <c r="G9" i="2" s="1"/>
  <c r="H9" i="2"/>
  <c r="G10" i="2" s="1"/>
  <c r="H13" i="2"/>
  <c r="G14" i="2" s="1"/>
  <c r="H15" i="2"/>
  <c r="G16" i="2" s="1"/>
  <c r="H4" i="2"/>
  <c r="G5" i="2" s="1"/>
  <c r="H5" i="2"/>
  <c r="G6" i="2" s="1"/>
  <c r="H18" i="2"/>
  <c r="G19" i="2" s="1"/>
  <c r="H11" i="2"/>
  <c r="G12" i="2" s="1"/>
  <c r="F8" i="2"/>
  <c r="F4" i="2"/>
  <c r="F13" i="2" a="1"/>
  <c r="F10" i="2" a="1"/>
  <c r="F5" i="2" a="1"/>
  <c r="F9" i="2" a="1"/>
  <c r="F21" i="2" a="1"/>
  <c r="F18" i="2" a="1"/>
  <c r="F15" i="2" a="1"/>
  <c r="F7" i="2" a="1"/>
  <c r="F19" i="2" a="1"/>
  <c r="F14" i="2" a="1"/>
  <c r="F20" i="2" a="1"/>
  <c r="F11" i="2" a="1"/>
  <c r="F12" i="2" a="1"/>
  <c r="F23" i="2" a="1"/>
  <c r="F6" i="2" a="1"/>
  <c r="F17" i="2" a="1"/>
  <c r="F16" i="2" a="1"/>
  <c r="F22" i="2" a="1"/>
  <c r="F18" i="2" l="1"/>
  <c r="F12" i="2"/>
  <c r="F20" i="2"/>
  <c r="F19" i="2"/>
  <c r="F15" i="2"/>
  <c r="F10" i="2"/>
  <c r="F13" i="2"/>
  <c r="F22" i="2"/>
  <c r="F21" i="2"/>
  <c r="F16" i="2"/>
  <c r="F17" i="2"/>
  <c r="F9" i="2"/>
  <c r="F23" i="2"/>
  <c r="F11" i="2"/>
  <c r="F14" i="2"/>
  <c r="F7" i="2"/>
  <c r="F6" i="2"/>
  <c r="F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<sst xmlns="http://schemas.openxmlformats.org/spreadsheetml/2006/main" count="24" uniqueCount="21">
  <si>
    <t>Week End</t>
    <phoneticPr fontId="1"/>
  </si>
  <si>
    <t>Holidays</t>
    <phoneticPr fontId="1"/>
  </si>
  <si>
    <t>TKY</t>
    <phoneticPr fontId="1"/>
  </si>
  <si>
    <t>Sunday</t>
    <phoneticPr fontId="1"/>
  </si>
  <si>
    <t>Saturday</t>
    <phoneticPr fontId="1"/>
  </si>
  <si>
    <t>NYK</t>
    <phoneticPr fontId="1"/>
  </si>
  <si>
    <t>trade date</t>
    <phoneticPr fontId="1"/>
  </si>
  <si>
    <t>spot reference cities</t>
    <phoneticPr fontId="1"/>
  </si>
  <si>
    <t>TKY,NYC</t>
    <phoneticPr fontId="1"/>
  </si>
  <si>
    <t>roll month</t>
    <phoneticPr fontId="1"/>
  </si>
  <si>
    <t>payment reference cities</t>
    <phoneticPr fontId="1"/>
  </si>
  <si>
    <t>roll day</t>
    <phoneticPr fontId="1"/>
  </si>
  <si>
    <t>no</t>
    <phoneticPr fontId="1"/>
  </si>
  <si>
    <t>start date</t>
    <phoneticPr fontId="1"/>
  </si>
  <si>
    <t>end date</t>
    <phoneticPr fontId="1"/>
  </si>
  <si>
    <t>fixing date</t>
    <phoneticPr fontId="1"/>
  </si>
  <si>
    <t>first roll day</t>
    <phoneticPr fontId="1"/>
  </si>
  <si>
    <t>spot lag</t>
    <phoneticPr fontId="1"/>
  </si>
  <si>
    <t>payment day business convension</t>
    <phoneticPr fontId="1"/>
  </si>
  <si>
    <t>MF</t>
    <phoneticPr fontId="1"/>
  </si>
  <si>
    <t>days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</si>
</sst>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14" fontId="2" fillId="0" borderId="3" xfId="0" applyNumberFormat="1" applyFont="1" applyBorder="1">
      <alignment vertical="center"/>
    </xf>
    <xf numFmtId="14" fontId="2" fillId="0" borderId="1" xfId="0" applyNumberFormat="1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290513</xdr:colOff>
          <xdr:row>0</xdr:row>
          <xdr:rowOff>114300</xdr:rowOff>
        </xdr:from>
        <xdr:to>
          <xdr:col>7</xdr:col>
          <xdr:colOff>638175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Relaed Calendars and Refresh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CE0C9-BE2B-4615-B8D7-AA2BD74FB117}">
  <sheetPr codeName="Sheet2"/>
  <dimension ref="A2:I69"/>
  <sheetViews>
    <sheetView tabSelected="1" workbookViewId="0"/>
  </sheetViews>
  <sheetFormatPr defaultRowHeight="17.649999999999999" x14ac:dyDescent="0.7"/>
  <cols>
    <col min="1" max="1" width="19.0625" customWidth="1"/>
    <col min="2" max="2" width="11" customWidth="1"/>
    <col min="3" max="3" width="4.125" customWidth="1"/>
    <col min="4" max="4" width="5.625" customWidth="1"/>
    <col min="5" max="8" width="12.125" customWidth="1"/>
    <col min="9" max="9" width="4.875" bestFit="1" customWidth="1"/>
  </cols>
  <sheetData>
    <row r="2" spans="1:9" x14ac:dyDescent="0.7">
      <c r="A2" s="10" t="s">
        <v>6</v>
      </c>
      <c r="B2" s="9">
        <v>45320</v>
      </c>
      <c r="C2" s="9"/>
      <c r="D2" t="s">
        <v>12</v>
      </c>
      <c r="E2" t="s">
        <v>11</v>
      </c>
      <c r="F2" t="s">
        <v>15</v>
      </c>
      <c r="G2" t="s">
        <v>13</v>
      </c>
      <c r="H2" t="s">
        <v>14</v>
      </c>
      <c r="I2" t="s">
        <v>20</v>
      </c>
    </row>
    <row r="3" spans="1:9" x14ac:dyDescent="0.7">
      <c r="A3" s="10" t="s">
        <v>16</v>
      </c>
      <c r="B3" s="9">
        <f>B2+B5</f>
        <v>45322</v>
      </c>
      <c r="D3">
        <v>0</v>
      </c>
      <c r="E3" s="9">
        <f>B3</f>
        <v>45322</v>
      </c>
      <c r="F3" s="9"/>
      <c r="G3" s="9"/>
      <c r="H3" s="9"/>
    </row>
    <row r="4" spans="1:9" x14ac:dyDescent="0.7">
      <c r="A4" s="10" t="s">
        <v>9</v>
      </c>
      <c r="B4">
        <v>3</v>
      </c>
      <c r="D4">
        <v>1</v>
      </c>
      <c r="E4" s="9">
        <f>EDATE($E$3,$B$4*D4)</f>
        <v>45412</v>
      </c>
      <c r="F4" s="9" cm="1">
        <f t="array" ref="F4">Proceeding(G4,$B$6,$B$5)</f>
        <v>45320</v>
      </c>
      <c r="G4" s="9" cm="1">
        <f t="array" ref="G4">AdjustHoliday(E3,$B$7,$B$8)</f>
        <v>45322</v>
      </c>
      <c r="H4" s="9" cm="1">
        <f t="array" ref="H4">AdjustHoliday(E4,$B$7,$B$8)</f>
        <v>45412</v>
      </c>
      <c r="I4">
        <f>H4-G4</f>
        <v>90</v>
      </c>
    </row>
    <row r="5" spans="1:9" x14ac:dyDescent="0.7">
      <c r="A5" s="10" t="s">
        <v>17</v>
      </c>
      <c r="B5">
        <v>2</v>
      </c>
      <c r="D5">
        <v>2</v>
      </c>
      <c r="E5" s="9">
        <f>EDATE($E$3,$B$4*D5)</f>
        <v>45504</v>
      </c>
      <c r="F5" s="9" cm="1">
        <f t="array" ref="F5">Proceeding(G5,$B$6,$B$5)</f>
        <v>45407</v>
      </c>
      <c r="G5" s="9">
        <f>H4</f>
        <v>45412</v>
      </c>
      <c r="H5" s="9" cm="1">
        <f t="array" ref="H5">AdjustHoliday(E5,$B$7,$B$8)</f>
        <v>45504</v>
      </c>
      <c r="I5">
        <f t="shared" ref="I5:I23" si="0">H5-G5</f>
        <v>92</v>
      </c>
    </row>
    <row r="6" spans="1:9" x14ac:dyDescent="0.7">
      <c r="A6" s="10" t="s">
        <v>7</v>
      </c>
      <c r="B6" t="s">
        <v>8</v>
      </c>
      <c r="D6">
        <v>3</v>
      </c>
      <c r="E6" s="9">
        <f>EDATE($E$3,$B$4*D6)</f>
        <v>45596</v>
      </c>
      <c r="F6" s="9" cm="1">
        <f t="array" ref="F6">Proceeding(G6,$B$6,$B$5)</f>
        <v>45502</v>
      </c>
      <c r="G6" s="9">
        <f>H5</f>
        <v>45504</v>
      </c>
      <c r="H6" s="9" cm="1">
        <f t="array" ref="H6">AdjustHoliday(E6,$B$7,$B$8)</f>
        <v>45596</v>
      </c>
      <c r="I6">
        <f t="shared" si="0"/>
        <v>92</v>
      </c>
    </row>
    <row r="7" spans="1:9" x14ac:dyDescent="0.7">
      <c r="A7" s="10" t="s">
        <v>10</v>
      </c>
      <c r="B7" t="s">
        <v>8</v>
      </c>
      <c r="D7">
        <v>4</v>
      </c>
      <c r="E7" s="9">
        <f>EDATE($E$3,$B$4*D7)</f>
        <v>45688</v>
      </c>
      <c r="F7" s="9" cm="1">
        <f t="array" ref="F7">Proceeding(G7,$B$6,$B$5)</f>
        <v>45594</v>
      </c>
      <c r="G7" s="9">
        <f t="shared" ref="G7:G23" si="1">H6</f>
        <v>45596</v>
      </c>
      <c r="H7" s="9" cm="1">
        <f t="array" ref="H7">AdjustHoliday(E7,$B$7,$B$8)</f>
        <v>45688</v>
      </c>
      <c r="I7">
        <f t="shared" si="0"/>
        <v>92</v>
      </c>
    </row>
    <row r="8" spans="1:9" x14ac:dyDescent="0.7">
      <c r="A8" s="10" t="s">
        <v>18</v>
      </c>
      <c r="B8" t="s">
        <v>19</v>
      </c>
      <c r="D8">
        <v>5</v>
      </c>
      <c r="E8" s="9">
        <f>EDATE($E$3,$B$4*D8)</f>
        <v>45777</v>
      </c>
      <c r="F8" s="9" cm="1">
        <f t="array" ref="F8">Proceeding(G8,$B$6,$B$5)</f>
        <v>45686</v>
      </c>
      <c r="G8" s="9">
        <f t="shared" si="1"/>
        <v>45688</v>
      </c>
      <c r="H8" s="9" cm="1">
        <f t="array" ref="H8">AdjustHoliday(E8,$B$7,$B$8)</f>
        <v>45777</v>
      </c>
      <c r="I8">
        <f t="shared" si="0"/>
        <v>89</v>
      </c>
    </row>
    <row r="9" spans="1:9" x14ac:dyDescent="0.7">
      <c r="D9">
        <v>6</v>
      </c>
      <c r="E9" s="9">
        <f>EDATE($E$3,$B$4*D9)</f>
        <v>45869</v>
      </c>
      <c r="F9" s="9" cm="1">
        <f t="array" ref="F9">Proceeding(G9,$B$6,$B$5)</f>
        <v>45772</v>
      </c>
      <c r="G9" s="9">
        <f t="shared" si="1"/>
        <v>45777</v>
      </c>
      <c r="H9" s="9" cm="1">
        <f t="array" ref="H9">AdjustHoliday(E9,$B$7,$B$8)</f>
        <v>45869</v>
      </c>
      <c r="I9">
        <f t="shared" si="0"/>
        <v>92</v>
      </c>
    </row>
    <row r="10" spans="1:9" x14ac:dyDescent="0.7">
      <c r="D10">
        <v>7</v>
      </c>
      <c r="E10" s="9">
        <f>EDATE($E$3,$B$4*D10)</f>
        <v>45961</v>
      </c>
      <c r="F10" s="9" cm="1">
        <f t="array" ref="F10">Proceeding(G10,$B$6,$B$5)</f>
        <v>45867</v>
      </c>
      <c r="G10" s="9">
        <f t="shared" si="1"/>
        <v>45869</v>
      </c>
      <c r="H10" s="9" cm="1">
        <f t="array" ref="H10">AdjustHoliday(E10,$B$7,$B$8)</f>
        <v>45961</v>
      </c>
      <c r="I10">
        <f t="shared" si="0"/>
        <v>92</v>
      </c>
    </row>
    <row r="11" spans="1:9" x14ac:dyDescent="0.7">
      <c r="D11">
        <v>8</v>
      </c>
      <c r="E11" s="9">
        <f>EDATE($E$3,$B$4*D11)</f>
        <v>46053</v>
      </c>
      <c r="F11" s="9" cm="1">
        <f t="array" ref="F11">Proceeding(G11,$B$6,$B$5)</f>
        <v>45959</v>
      </c>
      <c r="G11" s="9">
        <f t="shared" si="1"/>
        <v>45961</v>
      </c>
      <c r="H11" s="9" cm="1">
        <f t="array" ref="H11">AdjustHoliday(E11,$B$7,$B$8)</f>
        <v>46052</v>
      </c>
      <c r="I11">
        <f t="shared" si="0"/>
        <v>91</v>
      </c>
    </row>
    <row r="12" spans="1:9" x14ac:dyDescent="0.7">
      <c r="D12">
        <v>9</v>
      </c>
      <c r="E12" s="9">
        <f>EDATE($E$3,$B$4*D12)</f>
        <v>46142</v>
      </c>
      <c r="F12" s="9" cm="1">
        <f t="array" ref="F12">Proceeding(G12,$B$6,$B$5)</f>
        <v>46050</v>
      </c>
      <c r="G12" s="9">
        <f t="shared" si="1"/>
        <v>46052</v>
      </c>
      <c r="H12" s="9" cm="1">
        <f t="array" ref="H12">AdjustHoliday(E12,$B$7,$B$8)</f>
        <v>46142</v>
      </c>
      <c r="I12">
        <f t="shared" si="0"/>
        <v>90</v>
      </c>
    </row>
    <row r="13" spans="1:9" x14ac:dyDescent="0.7">
      <c r="D13">
        <v>10</v>
      </c>
      <c r="E13" s="9">
        <f>EDATE($E$3,$B$4*D13)</f>
        <v>46234</v>
      </c>
      <c r="F13" s="9" cm="1">
        <f t="array" ref="F13">Proceeding(G13,$B$6,$B$5)</f>
        <v>46139</v>
      </c>
      <c r="G13" s="9">
        <f t="shared" si="1"/>
        <v>46142</v>
      </c>
      <c r="H13" s="9" cm="1">
        <f t="array" ref="H13">AdjustHoliday(E13,$B$7,$B$8)</f>
        <v>46234</v>
      </c>
      <c r="I13">
        <f t="shared" si="0"/>
        <v>92</v>
      </c>
    </row>
    <row r="14" spans="1:9" x14ac:dyDescent="0.7">
      <c r="D14">
        <v>11</v>
      </c>
      <c r="E14" s="9">
        <f>EDATE($E$3,$B$4*D14)</f>
        <v>46326</v>
      </c>
      <c r="F14" s="9" cm="1">
        <f t="array" ref="F14">Proceeding(G14,$B$6,$B$5)</f>
        <v>46232</v>
      </c>
      <c r="G14" s="9">
        <f t="shared" si="1"/>
        <v>46234</v>
      </c>
      <c r="H14" s="9" cm="1">
        <f t="array" ref="H14">AdjustHoliday(E14,$B$7,$B$8)</f>
        <v>46325</v>
      </c>
      <c r="I14">
        <f t="shared" si="0"/>
        <v>91</v>
      </c>
    </row>
    <row r="15" spans="1:9" x14ac:dyDescent="0.7">
      <c r="D15">
        <v>12</v>
      </c>
      <c r="E15" s="9">
        <f>EDATE($E$3,$B$4*D15)</f>
        <v>46418</v>
      </c>
      <c r="F15" s="9" cm="1">
        <f t="array" ref="F15">Proceeding(G15,$B$6,$B$5)</f>
        <v>46323</v>
      </c>
      <c r="G15" s="9">
        <f t="shared" si="1"/>
        <v>46325</v>
      </c>
      <c r="H15" s="9" cm="1">
        <f t="array" ref="H15">AdjustHoliday(E15,$B$7,$B$8)</f>
        <v>46416</v>
      </c>
      <c r="I15">
        <f t="shared" si="0"/>
        <v>91</v>
      </c>
    </row>
    <row r="16" spans="1:9" x14ac:dyDescent="0.7">
      <c r="D16">
        <v>13</v>
      </c>
      <c r="E16" s="9">
        <f>EDATE($E$3,$B$4*D16)</f>
        <v>46507</v>
      </c>
      <c r="F16" s="9" cm="1">
        <f t="array" ref="F16">Proceeding(G16,$B$6,$B$5)</f>
        <v>46414</v>
      </c>
      <c r="G16" s="9">
        <f t="shared" si="1"/>
        <v>46416</v>
      </c>
      <c r="H16" s="9" cm="1">
        <f t="array" ref="H16">AdjustHoliday(E16,$B$7,$B$8)</f>
        <v>46507</v>
      </c>
      <c r="I16">
        <f t="shared" si="0"/>
        <v>91</v>
      </c>
    </row>
    <row r="17" spans="2:9" x14ac:dyDescent="0.7">
      <c r="D17">
        <v>14</v>
      </c>
      <c r="E17" s="9">
        <f>EDATE($E$3,$B$4*D17)</f>
        <v>46599</v>
      </c>
      <c r="F17" s="9" cm="1">
        <f t="array" ref="F17">Proceeding(G17,$B$6,$B$5)</f>
        <v>46504</v>
      </c>
      <c r="G17" s="9">
        <f t="shared" si="1"/>
        <v>46507</v>
      </c>
      <c r="H17" s="9" cm="1">
        <f t="array" ref="H17">AdjustHoliday(E17,$B$7,$B$8)</f>
        <v>46598</v>
      </c>
      <c r="I17">
        <f t="shared" si="0"/>
        <v>91</v>
      </c>
    </row>
    <row r="18" spans="2:9" x14ac:dyDescent="0.7">
      <c r="D18">
        <v>15</v>
      </c>
      <c r="E18" s="9">
        <f>EDATE($E$3,$B$4*D18)</f>
        <v>46691</v>
      </c>
      <c r="F18" s="9" cm="1">
        <f t="array" ref="F18">Proceeding(G18,$B$6,$B$5)</f>
        <v>46596</v>
      </c>
      <c r="G18" s="9">
        <f t="shared" si="1"/>
        <v>46598</v>
      </c>
      <c r="H18" s="9" cm="1">
        <f t="array" ref="H18">AdjustHoliday(E18,$B$7,$B$8)</f>
        <v>46689</v>
      </c>
      <c r="I18">
        <f t="shared" si="0"/>
        <v>91</v>
      </c>
    </row>
    <row r="19" spans="2:9" x14ac:dyDescent="0.7">
      <c r="D19">
        <v>16</v>
      </c>
      <c r="E19" s="9">
        <f>EDATE($E$3,$B$4*D19)</f>
        <v>46783</v>
      </c>
      <c r="F19" s="9" cm="1">
        <f t="array" ref="F19">Proceeding(G19,$B$6,$B$5)</f>
        <v>46687</v>
      </c>
      <c r="G19" s="9">
        <f t="shared" si="1"/>
        <v>46689</v>
      </c>
      <c r="H19" s="9" cm="1">
        <f t="array" ref="H19">AdjustHoliday(E19,$B$7,$B$8)</f>
        <v>46783</v>
      </c>
      <c r="I19">
        <f t="shared" si="0"/>
        <v>94</v>
      </c>
    </row>
    <row r="20" spans="2:9" x14ac:dyDescent="0.7">
      <c r="D20">
        <v>17</v>
      </c>
      <c r="E20" s="9">
        <f>EDATE($E$3,$B$4*D20)</f>
        <v>46873</v>
      </c>
      <c r="F20" s="9" cm="1">
        <f t="array" ref="F20">Proceeding(G20,$B$6,$B$5)</f>
        <v>46779</v>
      </c>
      <c r="G20" s="9">
        <f t="shared" si="1"/>
        <v>46783</v>
      </c>
      <c r="H20" s="9" cm="1">
        <f t="array" ref="H20">AdjustHoliday(E20,$B$7,$B$8)</f>
        <v>46871</v>
      </c>
      <c r="I20">
        <f t="shared" si="0"/>
        <v>88</v>
      </c>
    </row>
    <row r="21" spans="2:9" x14ac:dyDescent="0.7">
      <c r="D21">
        <v>18</v>
      </c>
      <c r="E21" s="9">
        <f>EDATE($E$3,$B$4*D21)</f>
        <v>46965</v>
      </c>
      <c r="F21" s="9" cm="1">
        <f t="array" ref="F21">Proceeding(G21,$B$6,$B$5)</f>
        <v>46869</v>
      </c>
      <c r="G21" s="9">
        <f t="shared" si="1"/>
        <v>46871</v>
      </c>
      <c r="H21" s="9" cm="1">
        <f t="array" ref="H21">AdjustHoliday(E21,$B$7,$B$8)</f>
        <v>46965</v>
      </c>
      <c r="I21">
        <f t="shared" si="0"/>
        <v>94</v>
      </c>
    </row>
    <row r="22" spans="2:9" x14ac:dyDescent="0.7">
      <c r="D22">
        <v>19</v>
      </c>
      <c r="E22" s="9">
        <f>EDATE($E$3,$B$4*D22)</f>
        <v>47057</v>
      </c>
      <c r="F22" s="9" cm="1">
        <f t="array" ref="F22">Proceeding(G22,$B$6,$B$5)</f>
        <v>46961</v>
      </c>
      <c r="G22" s="9">
        <f t="shared" si="1"/>
        <v>46965</v>
      </c>
      <c r="H22" s="9" cm="1">
        <f t="array" ref="H22">AdjustHoliday(E22,$B$7,$B$8)</f>
        <v>47057</v>
      </c>
      <c r="I22">
        <f t="shared" si="0"/>
        <v>92</v>
      </c>
    </row>
    <row r="23" spans="2:9" x14ac:dyDescent="0.7">
      <c r="D23">
        <v>20</v>
      </c>
      <c r="E23" s="9">
        <f>EDATE($E$3,$B$4*D23)</f>
        <v>47149</v>
      </c>
      <c r="F23" s="9" cm="1">
        <f t="array" ref="F23">Proceeding(G23,$B$6,$B$5)</f>
        <v>47053</v>
      </c>
      <c r="G23" s="9">
        <f t="shared" si="1"/>
        <v>47057</v>
      </c>
      <c r="H23" s="9" cm="1">
        <f t="array" ref="H23">AdjustHoliday(E23,$B$7,$B$8)</f>
        <v>47149</v>
      </c>
      <c r="I23">
        <f t="shared" si="0"/>
        <v>92</v>
      </c>
    </row>
    <row r="32" spans="2:9" x14ac:dyDescent="0.7">
      <c r="B32" s="9"/>
      <c r="C32" s="9"/>
      <c r="D32" s="9"/>
      <c r="E32" s="9"/>
    </row>
    <row r="33" spans="2:5" x14ac:dyDescent="0.7">
      <c r="B33" s="9"/>
      <c r="C33" s="9"/>
      <c r="D33" s="9"/>
      <c r="E33" s="9"/>
    </row>
    <row r="34" spans="2:5" x14ac:dyDescent="0.7">
      <c r="B34" s="9"/>
      <c r="C34" s="9"/>
      <c r="D34" s="9"/>
      <c r="E34" s="9"/>
    </row>
    <row r="35" spans="2:5" x14ac:dyDescent="0.7">
      <c r="B35" s="9"/>
      <c r="C35" s="9"/>
      <c r="D35" s="9"/>
      <c r="E35" s="9"/>
    </row>
    <row r="36" spans="2:5" x14ac:dyDescent="0.7">
      <c r="B36" s="9"/>
      <c r="C36" s="9"/>
      <c r="D36" s="9"/>
      <c r="E36" s="9"/>
    </row>
    <row r="37" spans="2:5" x14ac:dyDescent="0.7">
      <c r="B37" s="9"/>
      <c r="C37" s="9"/>
      <c r="D37" s="9"/>
      <c r="E37" s="9"/>
    </row>
    <row r="38" spans="2:5" x14ac:dyDescent="0.7">
      <c r="B38" s="9"/>
      <c r="C38" s="9"/>
      <c r="D38" s="9"/>
      <c r="E38" s="9"/>
    </row>
    <row r="39" spans="2:5" x14ac:dyDescent="0.7">
      <c r="B39" s="9"/>
      <c r="C39" s="9"/>
      <c r="D39" s="9"/>
      <c r="E39" s="9"/>
    </row>
    <row r="40" spans="2:5" x14ac:dyDescent="0.7">
      <c r="B40" s="9"/>
      <c r="C40" s="9"/>
      <c r="D40" s="9"/>
      <c r="E40" s="9"/>
    </row>
    <row r="41" spans="2:5" x14ac:dyDescent="0.7">
      <c r="B41" s="9"/>
      <c r="C41" s="9"/>
      <c r="D41" s="9"/>
      <c r="E41" s="9"/>
    </row>
    <row r="42" spans="2:5" x14ac:dyDescent="0.7">
      <c r="B42" s="9"/>
      <c r="C42" s="9"/>
      <c r="D42" s="9"/>
      <c r="E42" s="9"/>
    </row>
    <row r="43" spans="2:5" x14ac:dyDescent="0.7">
      <c r="B43" s="9"/>
      <c r="C43" s="9"/>
      <c r="D43" s="9"/>
      <c r="E43" s="9"/>
    </row>
    <row r="44" spans="2:5" x14ac:dyDescent="0.7">
      <c r="B44" s="9"/>
      <c r="C44" s="9"/>
      <c r="D44" s="9"/>
      <c r="E44" s="9"/>
    </row>
    <row r="45" spans="2:5" x14ac:dyDescent="0.7">
      <c r="B45" s="9"/>
      <c r="C45" s="9"/>
      <c r="D45" s="9"/>
      <c r="E45" s="9"/>
    </row>
    <row r="46" spans="2:5" x14ac:dyDescent="0.7">
      <c r="B46" s="9"/>
      <c r="C46" s="9"/>
      <c r="D46" s="9"/>
      <c r="E46" s="9"/>
    </row>
    <row r="47" spans="2:5" x14ac:dyDescent="0.7">
      <c r="B47" s="9"/>
      <c r="C47" s="9"/>
      <c r="D47" s="9"/>
      <c r="E47" s="9"/>
    </row>
    <row r="48" spans="2:5" x14ac:dyDescent="0.7">
      <c r="B48" s="9"/>
      <c r="C48" s="9"/>
      <c r="D48" s="9"/>
      <c r="E48" s="9"/>
    </row>
    <row r="49" spans="2:5" x14ac:dyDescent="0.7">
      <c r="B49" s="9"/>
      <c r="C49" s="9"/>
      <c r="D49" s="9"/>
      <c r="E49" s="9"/>
    </row>
    <row r="50" spans="2:5" x14ac:dyDescent="0.7">
      <c r="B50" s="9"/>
      <c r="C50" s="9"/>
      <c r="D50" s="9"/>
      <c r="E50" s="9"/>
    </row>
    <row r="51" spans="2:5" x14ac:dyDescent="0.7">
      <c r="B51" s="9"/>
      <c r="C51" s="9"/>
      <c r="D51" s="9"/>
      <c r="E51" s="9"/>
    </row>
    <row r="52" spans="2:5" x14ac:dyDescent="0.7">
      <c r="B52" s="9"/>
      <c r="C52" s="9"/>
      <c r="D52" s="9"/>
      <c r="E52" s="9"/>
    </row>
    <row r="53" spans="2:5" x14ac:dyDescent="0.7">
      <c r="B53" s="9"/>
      <c r="C53" s="9"/>
      <c r="D53" s="9"/>
      <c r="E53" s="9"/>
    </row>
    <row r="54" spans="2:5" x14ac:dyDescent="0.7">
      <c r="B54" s="9"/>
      <c r="C54" s="9"/>
      <c r="D54" s="9"/>
      <c r="E54" s="9"/>
    </row>
    <row r="55" spans="2:5" x14ac:dyDescent="0.7">
      <c r="B55" s="9"/>
      <c r="C55" s="9"/>
      <c r="D55" s="9"/>
      <c r="E55" s="9"/>
    </row>
    <row r="56" spans="2:5" x14ac:dyDescent="0.7">
      <c r="B56" s="9"/>
      <c r="C56" s="9"/>
      <c r="D56" s="9"/>
      <c r="E56" s="9"/>
    </row>
    <row r="57" spans="2:5" x14ac:dyDescent="0.7">
      <c r="B57" s="9"/>
      <c r="C57" s="9"/>
      <c r="D57" s="9"/>
      <c r="E57" s="9"/>
    </row>
    <row r="58" spans="2:5" x14ac:dyDescent="0.7">
      <c r="B58" s="9"/>
      <c r="C58" s="9"/>
      <c r="D58" s="9"/>
      <c r="E58" s="9"/>
    </row>
    <row r="59" spans="2:5" x14ac:dyDescent="0.7">
      <c r="B59" s="9"/>
      <c r="C59" s="9"/>
      <c r="D59" s="9"/>
      <c r="E59" s="9"/>
    </row>
    <row r="60" spans="2:5" x14ac:dyDescent="0.7">
      <c r="B60" s="9"/>
      <c r="C60" s="9"/>
      <c r="D60" s="9"/>
      <c r="E60" s="9"/>
    </row>
    <row r="61" spans="2:5" x14ac:dyDescent="0.7">
      <c r="B61" s="9"/>
      <c r="C61" s="9"/>
      <c r="D61" s="9"/>
      <c r="E61" s="9"/>
    </row>
    <row r="62" spans="2:5" x14ac:dyDescent="0.7">
      <c r="B62" s="9"/>
      <c r="C62" s="9"/>
      <c r="D62" s="9"/>
      <c r="E62" s="9"/>
    </row>
    <row r="63" spans="2:5" x14ac:dyDescent="0.7">
      <c r="B63" s="9"/>
      <c r="C63" s="9"/>
      <c r="D63" s="9"/>
      <c r="E63" s="9"/>
    </row>
    <row r="64" spans="2:5" x14ac:dyDescent="0.7">
      <c r="B64" s="9"/>
      <c r="C64" s="9"/>
      <c r="D64" s="9"/>
      <c r="E64" s="9"/>
    </row>
    <row r="65" spans="2:5" x14ac:dyDescent="0.7">
      <c r="B65" s="9"/>
      <c r="C65" s="9"/>
      <c r="D65" s="9"/>
      <c r="E65" s="9"/>
    </row>
    <row r="66" spans="2:5" x14ac:dyDescent="0.7">
      <c r="B66" s="9"/>
      <c r="C66" s="9"/>
      <c r="D66" s="9"/>
      <c r="E66" s="9"/>
    </row>
    <row r="67" spans="2:5" x14ac:dyDescent="0.7">
      <c r="B67" s="9"/>
      <c r="C67" s="9"/>
      <c r="D67" s="9"/>
      <c r="E67" s="9"/>
    </row>
    <row r="68" spans="2:5" x14ac:dyDescent="0.7">
      <c r="B68" s="9"/>
      <c r="C68" s="9"/>
      <c r="D68" s="9"/>
      <c r="E68" s="9"/>
    </row>
    <row r="69" spans="2:5" x14ac:dyDescent="0.7">
      <c r="B69" s="9"/>
      <c r="C69" s="9"/>
      <c r="D69" s="9"/>
      <c r="E69" s="9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AEC8-5FCD-4679-AECD-57665E7FD1D6}">
  <sheetPr codeName="Sheet1"/>
  <dimension ref="B2:D555"/>
  <sheetViews>
    <sheetView workbookViewId="0">
      <pane xSplit="2" ySplit="15" topLeftCell="C16" activePane="bottomRight" state="frozen"/>
      <selection pane="topRight" activeCell="C1" sqref="C1"/>
      <selection pane="bottomLeft" activeCell="A16" sqref="A16"/>
      <selection pane="bottomRight" activeCell="C16" sqref="C16"/>
    </sheetView>
  </sheetViews>
  <sheetFormatPr defaultRowHeight="15" x14ac:dyDescent="0.7"/>
  <cols>
    <col min="1" max="1" width="4.625" style="1" customWidth="1"/>
    <col min="2" max="2" width="4.625" style="2" customWidth="1"/>
    <col min="3" max="4" width="12.75" style="1" bestFit="1" customWidth="1"/>
    <col min="5" max="16384" width="9" style="1"/>
  </cols>
  <sheetData>
    <row r="2" spans="2:4" x14ac:dyDescent="0.7">
      <c r="B2" s="2" t="s">
        <v>0</v>
      </c>
    </row>
    <row r="3" spans="2:4" ht="5.25" customHeight="1" x14ac:dyDescent="0.7"/>
    <row r="4" spans="2:4" s="3" customFormat="1" ht="15.4" thickBot="1" x14ac:dyDescent="0.75">
      <c r="C4" s="6" t="s">
        <v>2</v>
      </c>
      <c r="D4" s="6" t="s">
        <v>5</v>
      </c>
    </row>
    <row r="5" spans="2:4" ht="15.4" thickTop="1" x14ac:dyDescent="0.7">
      <c r="C5" s="5" t="s">
        <v>3</v>
      </c>
      <c r="D5" s="5" t="s">
        <v>3</v>
      </c>
    </row>
    <row r="6" spans="2:4" x14ac:dyDescent="0.7">
      <c r="C6" s="4" t="s">
        <v>4</v>
      </c>
      <c r="D6" s="4" t="s">
        <v>4</v>
      </c>
    </row>
    <row r="7" spans="2:4" x14ac:dyDescent="0.7">
      <c r="C7" s="4"/>
      <c r="D7" s="4"/>
    </row>
    <row r="8" spans="2:4" x14ac:dyDescent="0.7">
      <c r="C8" s="4"/>
      <c r="D8" s="4"/>
    </row>
    <row r="9" spans="2:4" x14ac:dyDescent="0.7">
      <c r="C9" s="4"/>
      <c r="D9" s="4"/>
    </row>
    <row r="10" spans="2:4" x14ac:dyDescent="0.7">
      <c r="C10" s="4"/>
      <c r="D10" s="4"/>
    </row>
    <row r="11" spans="2:4" x14ac:dyDescent="0.7">
      <c r="C11" s="4"/>
      <c r="D11" s="4"/>
    </row>
    <row r="13" spans="2:4" x14ac:dyDescent="0.7">
      <c r="B13" s="2" t="s">
        <v>1</v>
      </c>
    </row>
    <row r="14" spans="2:4" ht="5.25" customHeight="1" x14ac:dyDescent="0.7"/>
    <row r="15" spans="2:4" s="3" customFormat="1" ht="15.4" thickBot="1" x14ac:dyDescent="0.75">
      <c r="C15" s="6" t="str">
        <f>C4</f>
        <v>TKY</v>
      </c>
      <c r="D15" s="6" t="str">
        <f>D4</f>
        <v>NYK</v>
      </c>
    </row>
    <row r="16" spans="2:4" ht="15.4" thickTop="1" x14ac:dyDescent="0.7">
      <c r="C16" s="7">
        <v>42736</v>
      </c>
      <c r="D16" s="7">
        <v>45292</v>
      </c>
    </row>
    <row r="17" spans="3:4" x14ac:dyDescent="0.7">
      <c r="C17" s="8">
        <v>42737</v>
      </c>
      <c r="D17" s="8">
        <v>45306</v>
      </c>
    </row>
    <row r="18" spans="3:4" x14ac:dyDescent="0.7">
      <c r="C18" s="8">
        <v>42744</v>
      </c>
      <c r="D18" s="8">
        <v>45341</v>
      </c>
    </row>
    <row r="19" spans="3:4" x14ac:dyDescent="0.7">
      <c r="C19" s="8">
        <v>42777</v>
      </c>
      <c r="D19" s="8">
        <v>45439</v>
      </c>
    </row>
    <row r="20" spans="3:4" x14ac:dyDescent="0.7">
      <c r="C20" s="8">
        <v>42814</v>
      </c>
      <c r="D20" s="8">
        <v>45462</v>
      </c>
    </row>
    <row r="21" spans="3:4" x14ac:dyDescent="0.7">
      <c r="C21" s="8">
        <v>42854</v>
      </c>
      <c r="D21" s="8">
        <v>45477</v>
      </c>
    </row>
    <row r="22" spans="3:4" x14ac:dyDescent="0.7">
      <c r="C22" s="8">
        <v>42858</v>
      </c>
      <c r="D22" s="8">
        <v>45537</v>
      </c>
    </row>
    <row r="23" spans="3:4" x14ac:dyDescent="0.7">
      <c r="C23" s="8">
        <v>42859</v>
      </c>
      <c r="D23" s="8">
        <v>45579</v>
      </c>
    </row>
    <row r="24" spans="3:4" x14ac:dyDescent="0.7">
      <c r="C24" s="8">
        <v>42860</v>
      </c>
      <c r="D24" s="8">
        <v>45607</v>
      </c>
    </row>
    <row r="25" spans="3:4" x14ac:dyDescent="0.7">
      <c r="C25" s="8">
        <v>42933</v>
      </c>
      <c r="D25" s="8">
        <v>45624</v>
      </c>
    </row>
    <row r="26" spans="3:4" x14ac:dyDescent="0.7">
      <c r="C26" s="8">
        <v>42958</v>
      </c>
      <c r="D26" s="8">
        <v>45651</v>
      </c>
    </row>
    <row r="27" spans="3:4" x14ac:dyDescent="0.7">
      <c r="C27" s="8">
        <v>42996</v>
      </c>
      <c r="D27" s="8"/>
    </row>
    <row r="28" spans="3:4" x14ac:dyDescent="0.7">
      <c r="C28" s="8">
        <v>43001</v>
      </c>
      <c r="D28" s="8"/>
    </row>
    <row r="29" spans="3:4" x14ac:dyDescent="0.7">
      <c r="C29" s="8">
        <v>43017</v>
      </c>
      <c r="D29" s="8"/>
    </row>
    <row r="30" spans="3:4" x14ac:dyDescent="0.7">
      <c r="C30" s="8">
        <v>43042</v>
      </c>
      <c r="D30" s="8"/>
    </row>
    <row r="31" spans="3:4" x14ac:dyDescent="0.7">
      <c r="C31" s="8">
        <v>43062</v>
      </c>
      <c r="D31" s="8"/>
    </row>
    <row r="32" spans="3:4" x14ac:dyDescent="0.7">
      <c r="C32" s="8">
        <v>43092</v>
      </c>
      <c r="D32" s="8"/>
    </row>
    <row r="33" spans="3:4" x14ac:dyDescent="0.7">
      <c r="C33" s="8">
        <v>43101</v>
      </c>
      <c r="D33" s="8"/>
    </row>
    <row r="34" spans="3:4" x14ac:dyDescent="0.7">
      <c r="C34" s="8">
        <v>43108</v>
      </c>
      <c r="D34" s="8"/>
    </row>
    <row r="35" spans="3:4" x14ac:dyDescent="0.7">
      <c r="C35" s="8">
        <v>43142</v>
      </c>
      <c r="D35" s="8"/>
    </row>
    <row r="36" spans="3:4" x14ac:dyDescent="0.7">
      <c r="C36" s="8">
        <v>43143</v>
      </c>
      <c r="D36" s="8"/>
    </row>
    <row r="37" spans="3:4" x14ac:dyDescent="0.7">
      <c r="C37" s="8">
        <v>43180</v>
      </c>
      <c r="D37" s="8"/>
    </row>
    <row r="38" spans="3:4" x14ac:dyDescent="0.7">
      <c r="C38" s="8">
        <v>43219</v>
      </c>
      <c r="D38" s="8"/>
    </row>
    <row r="39" spans="3:4" x14ac:dyDescent="0.7">
      <c r="C39" s="8">
        <v>43220</v>
      </c>
      <c r="D39" s="8"/>
    </row>
    <row r="40" spans="3:4" x14ac:dyDescent="0.7">
      <c r="C40" s="8">
        <v>43223</v>
      </c>
      <c r="D40" s="8"/>
    </row>
    <row r="41" spans="3:4" x14ac:dyDescent="0.7">
      <c r="C41" s="8">
        <v>43224</v>
      </c>
      <c r="D41" s="8"/>
    </row>
    <row r="42" spans="3:4" x14ac:dyDescent="0.7">
      <c r="C42" s="8">
        <v>43225</v>
      </c>
      <c r="D42" s="8"/>
    </row>
    <row r="43" spans="3:4" x14ac:dyDescent="0.7">
      <c r="C43" s="8">
        <v>43297</v>
      </c>
      <c r="D43" s="8"/>
    </row>
    <row r="44" spans="3:4" x14ac:dyDescent="0.7">
      <c r="C44" s="8">
        <v>43323</v>
      </c>
      <c r="D44" s="8"/>
    </row>
    <row r="45" spans="3:4" x14ac:dyDescent="0.7">
      <c r="C45" s="8">
        <v>43360</v>
      </c>
      <c r="D45" s="8"/>
    </row>
    <row r="46" spans="3:4" x14ac:dyDescent="0.7">
      <c r="C46" s="8">
        <v>43366</v>
      </c>
      <c r="D46" s="8"/>
    </row>
    <row r="47" spans="3:4" x14ac:dyDescent="0.7">
      <c r="C47" s="8">
        <v>43367</v>
      </c>
      <c r="D47" s="8"/>
    </row>
    <row r="48" spans="3:4" x14ac:dyDescent="0.7">
      <c r="C48" s="8">
        <v>43381</v>
      </c>
      <c r="D48" s="8"/>
    </row>
    <row r="49" spans="3:4" x14ac:dyDescent="0.7">
      <c r="C49" s="8">
        <v>43407</v>
      </c>
      <c r="D49" s="8"/>
    </row>
    <row r="50" spans="3:4" x14ac:dyDescent="0.7">
      <c r="C50" s="8">
        <v>43427</v>
      </c>
      <c r="D50" s="8"/>
    </row>
    <row r="51" spans="3:4" x14ac:dyDescent="0.7">
      <c r="C51" s="8">
        <v>43457</v>
      </c>
      <c r="D51" s="8"/>
    </row>
    <row r="52" spans="3:4" x14ac:dyDescent="0.7">
      <c r="C52" s="8">
        <v>43458</v>
      </c>
      <c r="D52" s="8"/>
    </row>
    <row r="53" spans="3:4" x14ac:dyDescent="0.7">
      <c r="C53" s="8">
        <v>43466</v>
      </c>
      <c r="D53" s="8"/>
    </row>
    <row r="54" spans="3:4" x14ac:dyDescent="0.7">
      <c r="C54" s="8">
        <v>43479</v>
      </c>
      <c r="D54" s="8"/>
    </row>
    <row r="55" spans="3:4" x14ac:dyDescent="0.7">
      <c r="C55" s="8">
        <v>43507</v>
      </c>
      <c r="D55" s="8"/>
    </row>
    <row r="56" spans="3:4" x14ac:dyDescent="0.7">
      <c r="C56" s="8">
        <v>43545</v>
      </c>
      <c r="D56" s="8"/>
    </row>
    <row r="57" spans="3:4" x14ac:dyDescent="0.7">
      <c r="C57" s="8">
        <v>43584</v>
      </c>
      <c r="D57" s="8"/>
    </row>
    <row r="58" spans="3:4" x14ac:dyDescent="0.7">
      <c r="C58" s="8">
        <v>43585</v>
      </c>
      <c r="D58" s="8"/>
    </row>
    <row r="59" spans="3:4" x14ac:dyDescent="0.7">
      <c r="C59" s="8">
        <v>43586</v>
      </c>
      <c r="D59" s="8"/>
    </row>
    <row r="60" spans="3:4" x14ac:dyDescent="0.7">
      <c r="C60" s="8">
        <v>43587</v>
      </c>
      <c r="D60" s="8"/>
    </row>
    <row r="61" spans="3:4" x14ac:dyDescent="0.7">
      <c r="C61" s="8">
        <v>43588</v>
      </c>
      <c r="D61" s="8"/>
    </row>
    <row r="62" spans="3:4" x14ac:dyDescent="0.7">
      <c r="C62" s="8">
        <v>43589</v>
      </c>
      <c r="D62" s="8"/>
    </row>
    <row r="63" spans="3:4" x14ac:dyDescent="0.7">
      <c r="C63" s="8">
        <v>43590</v>
      </c>
      <c r="D63" s="8"/>
    </row>
    <row r="64" spans="3:4" x14ac:dyDescent="0.7">
      <c r="C64" s="8">
        <v>43591</v>
      </c>
      <c r="D64" s="8"/>
    </row>
    <row r="65" spans="3:4" x14ac:dyDescent="0.7">
      <c r="C65" s="8">
        <v>43661</v>
      </c>
      <c r="D65" s="8"/>
    </row>
    <row r="66" spans="3:4" x14ac:dyDescent="0.7">
      <c r="C66" s="8">
        <v>43688</v>
      </c>
      <c r="D66" s="8"/>
    </row>
    <row r="67" spans="3:4" x14ac:dyDescent="0.7">
      <c r="C67" s="8">
        <v>43689</v>
      </c>
      <c r="D67" s="8"/>
    </row>
    <row r="68" spans="3:4" x14ac:dyDescent="0.7">
      <c r="C68" s="8">
        <v>43724</v>
      </c>
      <c r="D68" s="8"/>
    </row>
    <row r="69" spans="3:4" x14ac:dyDescent="0.7">
      <c r="C69" s="8">
        <v>43731</v>
      </c>
      <c r="D69" s="8"/>
    </row>
    <row r="70" spans="3:4" x14ac:dyDescent="0.7">
      <c r="C70" s="8">
        <v>43752</v>
      </c>
      <c r="D70" s="8"/>
    </row>
    <row r="71" spans="3:4" x14ac:dyDescent="0.7">
      <c r="C71" s="8">
        <v>43760</v>
      </c>
      <c r="D71" s="8"/>
    </row>
    <row r="72" spans="3:4" x14ac:dyDescent="0.7">
      <c r="C72" s="8">
        <v>43772</v>
      </c>
      <c r="D72" s="8"/>
    </row>
    <row r="73" spans="3:4" x14ac:dyDescent="0.7">
      <c r="C73" s="8">
        <v>43773</v>
      </c>
      <c r="D73" s="8"/>
    </row>
    <row r="74" spans="3:4" x14ac:dyDescent="0.7">
      <c r="C74" s="8">
        <v>43792</v>
      </c>
      <c r="D74" s="8"/>
    </row>
    <row r="75" spans="3:4" x14ac:dyDescent="0.7">
      <c r="C75" s="8">
        <v>43831</v>
      </c>
      <c r="D75" s="8"/>
    </row>
    <row r="76" spans="3:4" x14ac:dyDescent="0.7">
      <c r="C76" s="8">
        <v>43843</v>
      </c>
      <c r="D76" s="8"/>
    </row>
    <row r="77" spans="3:4" x14ac:dyDescent="0.7">
      <c r="C77" s="8">
        <v>43872</v>
      </c>
      <c r="D77" s="8"/>
    </row>
    <row r="78" spans="3:4" x14ac:dyDescent="0.7">
      <c r="C78" s="8">
        <v>43884</v>
      </c>
      <c r="D78" s="8"/>
    </row>
    <row r="79" spans="3:4" x14ac:dyDescent="0.7">
      <c r="C79" s="8">
        <v>43885</v>
      </c>
      <c r="D79" s="8"/>
    </row>
    <row r="80" spans="3:4" x14ac:dyDescent="0.7">
      <c r="C80" s="8">
        <v>43910</v>
      </c>
      <c r="D80" s="8"/>
    </row>
    <row r="81" spans="3:4" x14ac:dyDescent="0.7">
      <c r="C81" s="8">
        <v>43950</v>
      </c>
      <c r="D81" s="8"/>
    </row>
    <row r="82" spans="3:4" x14ac:dyDescent="0.7">
      <c r="C82" s="8">
        <v>43954</v>
      </c>
      <c r="D82" s="8"/>
    </row>
    <row r="83" spans="3:4" x14ac:dyDescent="0.7">
      <c r="C83" s="8">
        <v>43955</v>
      </c>
      <c r="D83" s="8"/>
    </row>
    <row r="84" spans="3:4" x14ac:dyDescent="0.7">
      <c r="C84" s="8">
        <v>43956</v>
      </c>
      <c r="D84" s="8"/>
    </row>
    <row r="85" spans="3:4" x14ac:dyDescent="0.7">
      <c r="C85" s="8">
        <v>43957</v>
      </c>
      <c r="D85" s="8"/>
    </row>
    <row r="86" spans="3:4" x14ac:dyDescent="0.7">
      <c r="C86" s="8">
        <v>44035</v>
      </c>
      <c r="D86" s="8"/>
    </row>
    <row r="87" spans="3:4" x14ac:dyDescent="0.7">
      <c r="C87" s="8">
        <v>44036</v>
      </c>
      <c r="D87" s="8"/>
    </row>
    <row r="88" spans="3:4" x14ac:dyDescent="0.7">
      <c r="C88" s="8">
        <v>44053</v>
      </c>
      <c r="D88" s="8"/>
    </row>
    <row r="89" spans="3:4" x14ac:dyDescent="0.7">
      <c r="C89" s="8">
        <v>44095</v>
      </c>
      <c r="D89" s="8"/>
    </row>
    <row r="90" spans="3:4" x14ac:dyDescent="0.7">
      <c r="C90" s="8">
        <v>44096</v>
      </c>
      <c r="D90" s="8"/>
    </row>
    <row r="91" spans="3:4" x14ac:dyDescent="0.7">
      <c r="C91" s="8">
        <v>44138</v>
      </c>
      <c r="D91" s="8"/>
    </row>
    <row r="92" spans="3:4" x14ac:dyDescent="0.7">
      <c r="C92" s="8">
        <v>44158</v>
      </c>
      <c r="D92" s="8"/>
    </row>
    <row r="93" spans="3:4" x14ac:dyDescent="0.7">
      <c r="C93" s="8">
        <v>44197</v>
      </c>
      <c r="D93" s="8"/>
    </row>
    <row r="94" spans="3:4" x14ac:dyDescent="0.7">
      <c r="C94" s="8">
        <v>44207</v>
      </c>
      <c r="D94" s="8"/>
    </row>
    <row r="95" spans="3:4" x14ac:dyDescent="0.7">
      <c r="C95" s="8">
        <v>44238</v>
      </c>
      <c r="D95" s="8"/>
    </row>
    <row r="96" spans="3:4" x14ac:dyDescent="0.7">
      <c r="C96" s="8">
        <v>44250</v>
      </c>
      <c r="D96" s="8"/>
    </row>
    <row r="97" spans="3:4" x14ac:dyDescent="0.7">
      <c r="C97" s="8">
        <v>44275</v>
      </c>
      <c r="D97" s="8"/>
    </row>
    <row r="98" spans="3:4" x14ac:dyDescent="0.7">
      <c r="C98" s="8">
        <v>44315</v>
      </c>
      <c r="D98" s="8"/>
    </row>
    <row r="99" spans="3:4" x14ac:dyDescent="0.7">
      <c r="C99" s="8">
        <v>44319</v>
      </c>
      <c r="D99" s="8"/>
    </row>
    <row r="100" spans="3:4" x14ac:dyDescent="0.7">
      <c r="C100" s="8">
        <v>44320</v>
      </c>
      <c r="D100" s="8"/>
    </row>
    <row r="101" spans="3:4" x14ac:dyDescent="0.7">
      <c r="C101" s="8">
        <v>44321</v>
      </c>
      <c r="D101" s="8"/>
    </row>
    <row r="102" spans="3:4" x14ac:dyDescent="0.7">
      <c r="C102" s="8">
        <v>44399</v>
      </c>
      <c r="D102" s="8"/>
    </row>
    <row r="103" spans="3:4" x14ac:dyDescent="0.7">
      <c r="C103" s="8">
        <v>44400</v>
      </c>
      <c r="D103" s="8"/>
    </row>
    <row r="104" spans="3:4" x14ac:dyDescent="0.7">
      <c r="C104" s="8">
        <v>44416</v>
      </c>
      <c r="D104" s="8"/>
    </row>
    <row r="105" spans="3:4" x14ac:dyDescent="0.7">
      <c r="C105" s="8">
        <v>44417</v>
      </c>
      <c r="D105" s="8"/>
    </row>
    <row r="106" spans="3:4" x14ac:dyDescent="0.7">
      <c r="C106" s="8">
        <v>44459</v>
      </c>
      <c r="D106" s="8"/>
    </row>
    <row r="107" spans="3:4" x14ac:dyDescent="0.7">
      <c r="C107" s="8">
        <v>44462</v>
      </c>
      <c r="D107" s="8"/>
    </row>
    <row r="108" spans="3:4" x14ac:dyDescent="0.7">
      <c r="C108" s="8">
        <v>44503</v>
      </c>
      <c r="D108" s="8"/>
    </row>
    <row r="109" spans="3:4" x14ac:dyDescent="0.7">
      <c r="C109" s="8">
        <v>44523</v>
      </c>
      <c r="D109" s="8"/>
    </row>
    <row r="110" spans="3:4" x14ac:dyDescent="0.7">
      <c r="C110" s="8">
        <v>44562</v>
      </c>
      <c r="D110" s="8"/>
    </row>
    <row r="111" spans="3:4" x14ac:dyDescent="0.7">
      <c r="C111" s="8">
        <v>44571</v>
      </c>
      <c r="D111" s="8"/>
    </row>
    <row r="112" spans="3:4" x14ac:dyDescent="0.7">
      <c r="C112" s="8">
        <v>44603</v>
      </c>
      <c r="D112" s="8"/>
    </row>
    <row r="113" spans="3:4" x14ac:dyDescent="0.7">
      <c r="C113" s="8">
        <v>44615</v>
      </c>
      <c r="D113" s="8"/>
    </row>
    <row r="114" spans="3:4" x14ac:dyDescent="0.7">
      <c r="C114" s="8">
        <v>44641</v>
      </c>
      <c r="D114" s="8"/>
    </row>
    <row r="115" spans="3:4" x14ac:dyDescent="0.7">
      <c r="C115" s="8">
        <v>44680</v>
      </c>
      <c r="D115" s="8"/>
    </row>
    <row r="116" spans="3:4" x14ac:dyDescent="0.7">
      <c r="C116" s="8">
        <v>44684</v>
      </c>
      <c r="D116" s="8"/>
    </row>
    <row r="117" spans="3:4" x14ac:dyDescent="0.7">
      <c r="C117" s="8">
        <v>44685</v>
      </c>
      <c r="D117" s="8"/>
    </row>
    <row r="118" spans="3:4" x14ac:dyDescent="0.7">
      <c r="C118" s="8">
        <v>44686</v>
      </c>
      <c r="D118" s="8"/>
    </row>
    <row r="119" spans="3:4" x14ac:dyDescent="0.7">
      <c r="C119" s="8">
        <v>44760</v>
      </c>
      <c r="D119" s="8"/>
    </row>
    <row r="120" spans="3:4" x14ac:dyDescent="0.7">
      <c r="C120" s="8">
        <v>44784</v>
      </c>
      <c r="D120" s="8"/>
    </row>
    <row r="121" spans="3:4" x14ac:dyDescent="0.7">
      <c r="C121" s="8">
        <v>44823</v>
      </c>
      <c r="D121" s="8"/>
    </row>
    <row r="122" spans="3:4" x14ac:dyDescent="0.7">
      <c r="C122" s="8">
        <v>44827</v>
      </c>
      <c r="D122" s="8"/>
    </row>
    <row r="123" spans="3:4" x14ac:dyDescent="0.7">
      <c r="C123" s="8">
        <v>44844</v>
      </c>
      <c r="D123" s="8"/>
    </row>
    <row r="124" spans="3:4" x14ac:dyDescent="0.7">
      <c r="C124" s="8">
        <v>44868</v>
      </c>
      <c r="D124" s="8"/>
    </row>
    <row r="125" spans="3:4" x14ac:dyDescent="0.7">
      <c r="C125" s="8">
        <v>44888</v>
      </c>
      <c r="D125" s="8"/>
    </row>
    <row r="126" spans="3:4" x14ac:dyDescent="0.7">
      <c r="C126" s="8">
        <v>44927</v>
      </c>
      <c r="D126" s="8"/>
    </row>
    <row r="127" spans="3:4" x14ac:dyDescent="0.7">
      <c r="C127" s="8">
        <v>44928</v>
      </c>
      <c r="D127" s="8"/>
    </row>
    <row r="128" spans="3:4" x14ac:dyDescent="0.7">
      <c r="C128" s="8">
        <v>44935</v>
      </c>
      <c r="D128" s="8"/>
    </row>
    <row r="129" spans="3:4" x14ac:dyDescent="0.7">
      <c r="C129" s="8">
        <v>44968</v>
      </c>
      <c r="D129" s="8"/>
    </row>
    <row r="130" spans="3:4" x14ac:dyDescent="0.7">
      <c r="C130" s="8">
        <v>44980</v>
      </c>
      <c r="D130" s="8"/>
    </row>
    <row r="131" spans="3:4" x14ac:dyDescent="0.7">
      <c r="C131" s="8">
        <v>45006</v>
      </c>
      <c r="D131" s="8"/>
    </row>
    <row r="132" spans="3:4" x14ac:dyDescent="0.7">
      <c r="C132" s="8">
        <v>45045</v>
      </c>
      <c r="D132" s="8"/>
    </row>
    <row r="133" spans="3:4" x14ac:dyDescent="0.7">
      <c r="C133" s="8">
        <v>45049</v>
      </c>
      <c r="D133" s="8"/>
    </row>
    <row r="134" spans="3:4" x14ac:dyDescent="0.7">
      <c r="C134" s="8">
        <v>45050</v>
      </c>
      <c r="D134" s="8"/>
    </row>
    <row r="135" spans="3:4" x14ac:dyDescent="0.7">
      <c r="C135" s="8">
        <v>45051</v>
      </c>
      <c r="D135" s="8"/>
    </row>
    <row r="136" spans="3:4" x14ac:dyDescent="0.7">
      <c r="C136" s="8">
        <v>45124</v>
      </c>
      <c r="D136" s="8"/>
    </row>
    <row r="137" spans="3:4" x14ac:dyDescent="0.7">
      <c r="C137" s="8">
        <v>45149</v>
      </c>
      <c r="D137" s="8"/>
    </row>
    <row r="138" spans="3:4" x14ac:dyDescent="0.7">
      <c r="C138" s="8">
        <v>45187</v>
      </c>
      <c r="D138" s="8"/>
    </row>
    <row r="139" spans="3:4" x14ac:dyDescent="0.7">
      <c r="C139" s="8">
        <v>45192</v>
      </c>
      <c r="D139" s="8"/>
    </row>
    <row r="140" spans="3:4" x14ac:dyDescent="0.7">
      <c r="C140" s="8">
        <v>45208</v>
      </c>
      <c r="D140" s="8"/>
    </row>
    <row r="141" spans="3:4" x14ac:dyDescent="0.7">
      <c r="C141" s="8">
        <v>45233</v>
      </c>
      <c r="D141" s="8"/>
    </row>
    <row r="142" spans="3:4" x14ac:dyDescent="0.7">
      <c r="C142" s="8">
        <v>45253</v>
      </c>
      <c r="D142" s="8"/>
    </row>
    <row r="143" spans="3:4" x14ac:dyDescent="0.7">
      <c r="C143" s="8">
        <v>45292</v>
      </c>
      <c r="D143" s="8"/>
    </row>
    <row r="144" spans="3:4" x14ac:dyDescent="0.7">
      <c r="C144" s="8">
        <v>45299</v>
      </c>
      <c r="D144" s="8"/>
    </row>
    <row r="145" spans="3:4" x14ac:dyDescent="0.7">
      <c r="C145" s="8">
        <v>45333</v>
      </c>
      <c r="D145" s="8"/>
    </row>
    <row r="146" spans="3:4" x14ac:dyDescent="0.7">
      <c r="C146" s="8">
        <v>45334</v>
      </c>
      <c r="D146" s="8"/>
    </row>
    <row r="147" spans="3:4" x14ac:dyDescent="0.7">
      <c r="C147" s="8">
        <v>45345</v>
      </c>
      <c r="D147" s="8"/>
    </row>
    <row r="148" spans="3:4" x14ac:dyDescent="0.7">
      <c r="C148" s="8">
        <v>45371</v>
      </c>
      <c r="D148" s="8"/>
    </row>
    <row r="149" spans="3:4" x14ac:dyDescent="0.7">
      <c r="C149" s="8">
        <v>45411</v>
      </c>
      <c r="D149" s="8"/>
    </row>
    <row r="150" spans="3:4" x14ac:dyDescent="0.7">
      <c r="C150" s="8">
        <v>45415</v>
      </c>
      <c r="D150" s="8"/>
    </row>
    <row r="151" spans="3:4" x14ac:dyDescent="0.7">
      <c r="C151" s="8">
        <v>45416</v>
      </c>
      <c r="D151" s="8"/>
    </row>
    <row r="152" spans="3:4" x14ac:dyDescent="0.7">
      <c r="C152" s="8">
        <v>45417</v>
      </c>
      <c r="D152" s="8"/>
    </row>
    <row r="153" spans="3:4" x14ac:dyDescent="0.7">
      <c r="C153" s="8">
        <v>45418</v>
      </c>
      <c r="D153" s="8"/>
    </row>
    <row r="154" spans="3:4" x14ac:dyDescent="0.7">
      <c r="C154" s="8">
        <v>45488</v>
      </c>
      <c r="D154" s="8"/>
    </row>
    <row r="155" spans="3:4" x14ac:dyDescent="0.7">
      <c r="C155" s="8">
        <v>45515</v>
      </c>
      <c r="D155" s="8"/>
    </row>
    <row r="156" spans="3:4" x14ac:dyDescent="0.7">
      <c r="C156" s="8">
        <v>45516</v>
      </c>
      <c r="D156" s="8"/>
    </row>
    <row r="157" spans="3:4" x14ac:dyDescent="0.7">
      <c r="C157" s="8">
        <v>45551</v>
      </c>
      <c r="D157" s="8"/>
    </row>
    <row r="158" spans="3:4" x14ac:dyDescent="0.7">
      <c r="C158" s="8">
        <v>45557</v>
      </c>
      <c r="D158" s="8"/>
    </row>
    <row r="159" spans="3:4" x14ac:dyDescent="0.7">
      <c r="C159" s="8">
        <v>45558</v>
      </c>
      <c r="D159" s="8"/>
    </row>
    <row r="160" spans="3:4" x14ac:dyDescent="0.7">
      <c r="C160" s="8">
        <v>45579</v>
      </c>
      <c r="D160" s="8"/>
    </row>
    <row r="161" spans="3:4" x14ac:dyDescent="0.7">
      <c r="C161" s="8">
        <v>45599</v>
      </c>
      <c r="D161" s="8"/>
    </row>
    <row r="162" spans="3:4" x14ac:dyDescent="0.7">
      <c r="C162" s="8">
        <v>45600</v>
      </c>
      <c r="D162" s="8"/>
    </row>
    <row r="163" spans="3:4" x14ac:dyDescent="0.7">
      <c r="C163" s="8">
        <v>45619</v>
      </c>
      <c r="D163" s="8"/>
    </row>
    <row r="164" spans="3:4" x14ac:dyDescent="0.7">
      <c r="C164" s="8">
        <v>45658</v>
      </c>
      <c r="D164" s="8"/>
    </row>
    <row r="165" spans="3:4" x14ac:dyDescent="0.7">
      <c r="C165" s="8">
        <v>45670</v>
      </c>
      <c r="D165" s="8"/>
    </row>
    <row r="166" spans="3:4" x14ac:dyDescent="0.7">
      <c r="C166" s="8">
        <v>45699</v>
      </c>
      <c r="D166" s="8"/>
    </row>
    <row r="167" spans="3:4" x14ac:dyDescent="0.7">
      <c r="C167" s="8">
        <v>45711</v>
      </c>
      <c r="D167" s="8"/>
    </row>
    <row r="168" spans="3:4" x14ac:dyDescent="0.7">
      <c r="C168" s="8">
        <v>45712</v>
      </c>
      <c r="D168" s="8"/>
    </row>
    <row r="169" spans="3:4" x14ac:dyDescent="0.7">
      <c r="C169" s="8">
        <v>45736</v>
      </c>
      <c r="D169" s="8"/>
    </row>
    <row r="170" spans="3:4" x14ac:dyDescent="0.7">
      <c r="C170" s="8">
        <v>45776</v>
      </c>
      <c r="D170" s="8"/>
    </row>
    <row r="171" spans="3:4" x14ac:dyDescent="0.7">
      <c r="C171" s="8">
        <v>45780</v>
      </c>
      <c r="D171" s="8"/>
    </row>
    <row r="172" spans="3:4" x14ac:dyDescent="0.7">
      <c r="C172" s="8">
        <v>45781</v>
      </c>
      <c r="D172" s="8"/>
    </row>
    <row r="173" spans="3:4" x14ac:dyDescent="0.7">
      <c r="C173" s="8">
        <v>45782</v>
      </c>
      <c r="D173" s="8"/>
    </row>
    <row r="174" spans="3:4" x14ac:dyDescent="0.7">
      <c r="C174" s="8">
        <v>45783</v>
      </c>
      <c r="D174" s="8"/>
    </row>
    <row r="175" spans="3:4" x14ac:dyDescent="0.7">
      <c r="C175" s="8">
        <v>45859</v>
      </c>
      <c r="D175" s="8"/>
    </row>
    <row r="176" spans="3:4" x14ac:dyDescent="0.7">
      <c r="C176" s="8">
        <v>45880</v>
      </c>
      <c r="D176" s="8"/>
    </row>
    <row r="177" spans="3:4" x14ac:dyDescent="0.7">
      <c r="C177" s="8">
        <v>45915</v>
      </c>
      <c r="D177" s="8"/>
    </row>
    <row r="178" spans="3:4" x14ac:dyDescent="0.7">
      <c r="C178" s="8">
        <v>45923</v>
      </c>
      <c r="D178" s="8"/>
    </row>
    <row r="179" spans="3:4" x14ac:dyDescent="0.7">
      <c r="C179" s="8">
        <v>45943</v>
      </c>
      <c r="D179" s="8"/>
    </row>
    <row r="180" spans="3:4" x14ac:dyDescent="0.7">
      <c r="C180" s="8">
        <v>45964</v>
      </c>
      <c r="D180" s="8"/>
    </row>
    <row r="181" spans="3:4" x14ac:dyDescent="0.7">
      <c r="C181" s="8">
        <v>45984</v>
      </c>
      <c r="D181" s="8"/>
    </row>
    <row r="182" spans="3:4" x14ac:dyDescent="0.7">
      <c r="C182" s="8">
        <v>45985</v>
      </c>
      <c r="D182" s="8"/>
    </row>
    <row r="183" spans="3:4" x14ac:dyDescent="0.7">
      <c r="C183" s="8">
        <v>46023</v>
      </c>
      <c r="D183" s="8"/>
    </row>
    <row r="184" spans="3:4" x14ac:dyDescent="0.7">
      <c r="C184" s="8">
        <v>46034</v>
      </c>
      <c r="D184" s="8"/>
    </row>
    <row r="185" spans="3:4" x14ac:dyDescent="0.7">
      <c r="C185" s="8">
        <v>46064</v>
      </c>
      <c r="D185" s="8"/>
    </row>
    <row r="186" spans="3:4" x14ac:dyDescent="0.7">
      <c r="C186" s="8">
        <v>46076</v>
      </c>
      <c r="D186" s="8"/>
    </row>
    <row r="187" spans="3:4" x14ac:dyDescent="0.7">
      <c r="C187" s="8">
        <v>46101</v>
      </c>
      <c r="D187" s="8"/>
    </row>
    <row r="188" spans="3:4" x14ac:dyDescent="0.7">
      <c r="C188" s="8">
        <v>46141</v>
      </c>
      <c r="D188" s="8"/>
    </row>
    <row r="189" spans="3:4" x14ac:dyDescent="0.7">
      <c r="C189" s="8">
        <v>46145</v>
      </c>
      <c r="D189" s="8"/>
    </row>
    <row r="190" spans="3:4" x14ac:dyDescent="0.7">
      <c r="C190" s="8">
        <v>46146</v>
      </c>
      <c r="D190" s="8"/>
    </row>
    <row r="191" spans="3:4" x14ac:dyDescent="0.7">
      <c r="C191" s="8">
        <v>46147</v>
      </c>
      <c r="D191" s="8"/>
    </row>
    <row r="192" spans="3:4" x14ac:dyDescent="0.7">
      <c r="C192" s="8">
        <v>46148</v>
      </c>
      <c r="D192" s="8"/>
    </row>
    <row r="193" spans="3:4" x14ac:dyDescent="0.7">
      <c r="C193" s="8">
        <v>46223</v>
      </c>
      <c r="D193" s="8"/>
    </row>
    <row r="194" spans="3:4" x14ac:dyDescent="0.7">
      <c r="C194" s="8">
        <v>46245</v>
      </c>
      <c r="D194" s="8"/>
    </row>
    <row r="195" spans="3:4" x14ac:dyDescent="0.7">
      <c r="C195" s="8">
        <v>46286</v>
      </c>
      <c r="D195" s="8"/>
    </row>
    <row r="196" spans="3:4" x14ac:dyDescent="0.7">
      <c r="C196" s="8">
        <v>46287</v>
      </c>
      <c r="D196" s="8"/>
    </row>
    <row r="197" spans="3:4" x14ac:dyDescent="0.7">
      <c r="C197" s="8">
        <v>46288</v>
      </c>
      <c r="D197" s="8"/>
    </row>
    <row r="198" spans="3:4" x14ac:dyDescent="0.7">
      <c r="C198" s="8">
        <v>46307</v>
      </c>
      <c r="D198" s="8"/>
    </row>
    <row r="199" spans="3:4" x14ac:dyDescent="0.7">
      <c r="C199" s="8">
        <v>46329</v>
      </c>
      <c r="D199" s="8"/>
    </row>
    <row r="200" spans="3:4" x14ac:dyDescent="0.7">
      <c r="C200" s="8">
        <v>46349</v>
      </c>
      <c r="D200" s="8"/>
    </row>
    <row r="201" spans="3:4" x14ac:dyDescent="0.7">
      <c r="C201" s="8">
        <v>46388</v>
      </c>
      <c r="D201" s="8"/>
    </row>
    <row r="202" spans="3:4" x14ac:dyDescent="0.7">
      <c r="C202" s="8">
        <v>46398</v>
      </c>
      <c r="D202" s="8"/>
    </row>
    <row r="203" spans="3:4" x14ac:dyDescent="0.7">
      <c r="C203" s="8">
        <v>46429</v>
      </c>
      <c r="D203" s="8"/>
    </row>
    <row r="204" spans="3:4" x14ac:dyDescent="0.7">
      <c r="C204" s="8">
        <v>46441</v>
      </c>
      <c r="D204" s="8"/>
    </row>
    <row r="205" spans="3:4" x14ac:dyDescent="0.7">
      <c r="C205" s="8">
        <v>46467</v>
      </c>
      <c r="D205" s="8"/>
    </row>
    <row r="206" spans="3:4" x14ac:dyDescent="0.7">
      <c r="C206" s="8">
        <v>46468</v>
      </c>
      <c r="D206" s="8"/>
    </row>
    <row r="207" spans="3:4" x14ac:dyDescent="0.7">
      <c r="C207" s="8">
        <v>46506</v>
      </c>
      <c r="D207" s="8"/>
    </row>
    <row r="208" spans="3:4" x14ac:dyDescent="0.7">
      <c r="C208" s="8">
        <v>46510</v>
      </c>
      <c r="D208" s="8"/>
    </row>
    <row r="209" spans="3:4" x14ac:dyDescent="0.7">
      <c r="C209" s="8">
        <v>46511</v>
      </c>
      <c r="D209" s="8"/>
    </row>
    <row r="210" spans="3:4" x14ac:dyDescent="0.7">
      <c r="C210" s="8">
        <v>46512</v>
      </c>
      <c r="D210" s="8"/>
    </row>
    <row r="211" spans="3:4" x14ac:dyDescent="0.7">
      <c r="C211" s="8">
        <v>46587</v>
      </c>
      <c r="D211" s="8"/>
    </row>
    <row r="212" spans="3:4" x14ac:dyDescent="0.7">
      <c r="C212" s="8">
        <v>46610</v>
      </c>
      <c r="D212" s="8"/>
    </row>
    <row r="213" spans="3:4" x14ac:dyDescent="0.7">
      <c r="C213" s="8">
        <v>46650</v>
      </c>
      <c r="D213" s="8"/>
    </row>
    <row r="214" spans="3:4" x14ac:dyDescent="0.7">
      <c r="C214" s="8">
        <v>46653</v>
      </c>
      <c r="D214" s="8"/>
    </row>
    <row r="215" spans="3:4" x14ac:dyDescent="0.7">
      <c r="C215" s="8">
        <v>46671</v>
      </c>
      <c r="D215" s="8"/>
    </row>
    <row r="216" spans="3:4" x14ac:dyDescent="0.7">
      <c r="C216" s="8">
        <v>46694</v>
      </c>
      <c r="D216" s="8"/>
    </row>
    <row r="217" spans="3:4" x14ac:dyDescent="0.7">
      <c r="C217" s="8">
        <v>46714</v>
      </c>
      <c r="D217" s="8"/>
    </row>
    <row r="218" spans="3:4" x14ac:dyDescent="0.7">
      <c r="C218" s="8">
        <v>46753</v>
      </c>
      <c r="D218" s="8"/>
    </row>
    <row r="219" spans="3:4" x14ac:dyDescent="0.7">
      <c r="C219" s="8">
        <v>46762</v>
      </c>
      <c r="D219" s="8"/>
    </row>
    <row r="220" spans="3:4" x14ac:dyDescent="0.7">
      <c r="C220" s="8">
        <v>46794</v>
      </c>
      <c r="D220" s="8"/>
    </row>
    <row r="221" spans="3:4" x14ac:dyDescent="0.7">
      <c r="C221" s="8">
        <v>46806</v>
      </c>
      <c r="D221" s="8"/>
    </row>
    <row r="222" spans="3:4" x14ac:dyDescent="0.7">
      <c r="C222" s="8">
        <v>46832</v>
      </c>
      <c r="D222" s="8"/>
    </row>
    <row r="223" spans="3:4" x14ac:dyDescent="0.7">
      <c r="C223" s="8">
        <v>46872</v>
      </c>
      <c r="D223" s="8"/>
    </row>
    <row r="224" spans="3:4" x14ac:dyDescent="0.7">
      <c r="C224" s="8">
        <v>46876</v>
      </c>
      <c r="D224" s="8"/>
    </row>
    <row r="225" spans="3:4" x14ac:dyDescent="0.7">
      <c r="C225" s="8">
        <v>46877</v>
      </c>
      <c r="D225" s="8"/>
    </row>
    <row r="226" spans="3:4" x14ac:dyDescent="0.7">
      <c r="C226" s="8">
        <v>46878</v>
      </c>
      <c r="D226" s="8"/>
    </row>
    <row r="227" spans="3:4" x14ac:dyDescent="0.7">
      <c r="C227" s="8">
        <v>46951</v>
      </c>
      <c r="D227" s="8"/>
    </row>
    <row r="228" spans="3:4" x14ac:dyDescent="0.7">
      <c r="C228" s="8">
        <v>46976</v>
      </c>
      <c r="D228" s="8"/>
    </row>
    <row r="229" spans="3:4" x14ac:dyDescent="0.7">
      <c r="C229" s="8">
        <v>47014</v>
      </c>
      <c r="D229" s="8"/>
    </row>
    <row r="230" spans="3:4" x14ac:dyDescent="0.7">
      <c r="C230" s="8">
        <v>47018</v>
      </c>
      <c r="D230" s="8"/>
    </row>
    <row r="231" spans="3:4" x14ac:dyDescent="0.7">
      <c r="C231" s="8">
        <v>47035</v>
      </c>
      <c r="D231" s="8"/>
    </row>
    <row r="232" spans="3:4" x14ac:dyDescent="0.7">
      <c r="C232" s="8">
        <v>47060</v>
      </c>
      <c r="D232" s="8"/>
    </row>
    <row r="233" spans="3:4" x14ac:dyDescent="0.7">
      <c r="C233" s="8">
        <v>47080</v>
      </c>
      <c r="D233" s="8"/>
    </row>
    <row r="234" spans="3:4" x14ac:dyDescent="0.7">
      <c r="C234" s="8">
        <v>47119</v>
      </c>
      <c r="D234" s="8"/>
    </row>
    <row r="235" spans="3:4" x14ac:dyDescent="0.7">
      <c r="C235" s="8">
        <v>47126</v>
      </c>
      <c r="D235" s="8"/>
    </row>
    <row r="236" spans="3:4" x14ac:dyDescent="0.7">
      <c r="C236" s="8">
        <v>47160</v>
      </c>
      <c r="D236" s="8"/>
    </row>
    <row r="237" spans="3:4" x14ac:dyDescent="0.7">
      <c r="C237" s="8">
        <v>47161</v>
      </c>
      <c r="D237" s="8"/>
    </row>
    <row r="238" spans="3:4" x14ac:dyDescent="0.7">
      <c r="C238" s="8">
        <v>47172</v>
      </c>
      <c r="D238" s="8"/>
    </row>
    <row r="239" spans="3:4" x14ac:dyDescent="0.7">
      <c r="C239" s="8">
        <v>47197</v>
      </c>
      <c r="D239" s="8"/>
    </row>
    <row r="240" spans="3:4" x14ac:dyDescent="0.7">
      <c r="C240" s="8">
        <v>47237</v>
      </c>
      <c r="D240" s="8"/>
    </row>
    <row r="241" spans="3:4" x14ac:dyDescent="0.7">
      <c r="C241" s="8">
        <v>47238</v>
      </c>
      <c r="D241" s="8"/>
    </row>
    <row r="242" spans="3:4" x14ac:dyDescent="0.7">
      <c r="C242" s="8">
        <v>47241</v>
      </c>
      <c r="D242" s="8"/>
    </row>
    <row r="243" spans="3:4" x14ac:dyDescent="0.7">
      <c r="C243" s="8">
        <v>47242</v>
      </c>
      <c r="D243" s="8"/>
    </row>
    <row r="244" spans="3:4" x14ac:dyDescent="0.7">
      <c r="C244" s="8">
        <v>47243</v>
      </c>
      <c r="D244" s="8"/>
    </row>
    <row r="245" spans="3:4" x14ac:dyDescent="0.7">
      <c r="C245" s="8">
        <v>47315</v>
      </c>
      <c r="D245" s="8"/>
    </row>
    <row r="246" spans="3:4" x14ac:dyDescent="0.7">
      <c r="C246" s="8">
        <v>47341</v>
      </c>
      <c r="D246" s="8"/>
    </row>
    <row r="247" spans="3:4" x14ac:dyDescent="0.7">
      <c r="C247" s="8">
        <v>47378</v>
      </c>
      <c r="D247" s="8"/>
    </row>
    <row r="248" spans="3:4" x14ac:dyDescent="0.7">
      <c r="C248" s="8">
        <v>47384</v>
      </c>
      <c r="D248" s="8"/>
    </row>
    <row r="249" spans="3:4" x14ac:dyDescent="0.7">
      <c r="C249" s="8">
        <v>47385</v>
      </c>
      <c r="D249" s="8"/>
    </row>
    <row r="250" spans="3:4" x14ac:dyDescent="0.7">
      <c r="C250" s="8">
        <v>47399</v>
      </c>
      <c r="D250" s="8"/>
    </row>
    <row r="251" spans="3:4" x14ac:dyDescent="0.7">
      <c r="C251" s="8">
        <v>47425</v>
      </c>
      <c r="D251" s="8"/>
    </row>
    <row r="252" spans="3:4" x14ac:dyDescent="0.7">
      <c r="C252" s="8">
        <v>47445</v>
      </c>
      <c r="D252" s="8"/>
    </row>
    <row r="253" spans="3:4" x14ac:dyDescent="0.7">
      <c r="C253" s="8">
        <v>47484</v>
      </c>
      <c r="D253" s="8"/>
    </row>
    <row r="254" spans="3:4" x14ac:dyDescent="0.7">
      <c r="C254" s="8">
        <v>47497</v>
      </c>
      <c r="D254" s="8"/>
    </row>
    <row r="255" spans="3:4" x14ac:dyDescent="0.7">
      <c r="C255" s="8">
        <v>47525</v>
      </c>
      <c r="D255" s="8"/>
    </row>
    <row r="256" spans="3:4" x14ac:dyDescent="0.7">
      <c r="C256" s="8">
        <v>47537</v>
      </c>
      <c r="D256" s="8"/>
    </row>
    <row r="257" spans="3:4" x14ac:dyDescent="0.7">
      <c r="C257" s="8">
        <v>47562</v>
      </c>
      <c r="D257" s="8"/>
    </row>
    <row r="258" spans="3:4" x14ac:dyDescent="0.7">
      <c r="C258" s="8">
        <v>47602</v>
      </c>
      <c r="D258" s="8"/>
    </row>
    <row r="259" spans="3:4" x14ac:dyDescent="0.7">
      <c r="C259" s="8">
        <v>47606</v>
      </c>
      <c r="D259" s="8"/>
    </row>
    <row r="260" spans="3:4" x14ac:dyDescent="0.7">
      <c r="C260" s="8">
        <v>47607</v>
      </c>
      <c r="D260" s="8"/>
    </row>
    <row r="261" spans="3:4" x14ac:dyDescent="0.7">
      <c r="C261" s="8">
        <v>47608</v>
      </c>
      <c r="D261" s="8"/>
    </row>
    <row r="262" spans="3:4" x14ac:dyDescent="0.7">
      <c r="C262" s="8">
        <v>47609</v>
      </c>
      <c r="D262" s="8"/>
    </row>
    <row r="263" spans="3:4" x14ac:dyDescent="0.7">
      <c r="C263" s="8">
        <v>47679</v>
      </c>
      <c r="D263" s="8"/>
    </row>
    <row r="264" spans="3:4" x14ac:dyDescent="0.7">
      <c r="C264" s="8">
        <v>47706</v>
      </c>
      <c r="D264" s="8"/>
    </row>
    <row r="265" spans="3:4" x14ac:dyDescent="0.7">
      <c r="C265" s="8">
        <v>47707</v>
      </c>
      <c r="D265" s="8"/>
    </row>
    <row r="266" spans="3:4" x14ac:dyDescent="0.7">
      <c r="C266" s="8">
        <v>47742</v>
      </c>
      <c r="D266" s="8"/>
    </row>
    <row r="267" spans="3:4" x14ac:dyDescent="0.7">
      <c r="C267" s="8">
        <v>47749</v>
      </c>
      <c r="D267" s="8"/>
    </row>
    <row r="268" spans="3:4" x14ac:dyDescent="0.7">
      <c r="C268" s="8">
        <v>47770</v>
      </c>
      <c r="D268" s="8"/>
    </row>
    <row r="269" spans="3:4" x14ac:dyDescent="0.7">
      <c r="C269" s="8">
        <v>47790</v>
      </c>
      <c r="D269" s="8"/>
    </row>
    <row r="270" spans="3:4" x14ac:dyDescent="0.7">
      <c r="C270" s="8">
        <v>47791</v>
      </c>
      <c r="D270" s="8"/>
    </row>
    <row r="271" spans="3:4" x14ac:dyDescent="0.7">
      <c r="C271" s="8">
        <v>47810</v>
      </c>
      <c r="D271" s="8"/>
    </row>
    <row r="272" spans="3:4" x14ac:dyDescent="0.7">
      <c r="C272" s="8">
        <v>47849</v>
      </c>
      <c r="D272" s="8"/>
    </row>
    <row r="273" spans="3:4" x14ac:dyDescent="0.7">
      <c r="C273" s="8">
        <v>47861</v>
      </c>
      <c r="D273" s="8"/>
    </row>
    <row r="274" spans="3:4" x14ac:dyDescent="0.7">
      <c r="C274" s="8">
        <v>47890</v>
      </c>
      <c r="D274" s="8"/>
    </row>
    <row r="275" spans="3:4" x14ac:dyDescent="0.7">
      <c r="C275" s="8">
        <v>47902</v>
      </c>
      <c r="D275" s="8"/>
    </row>
    <row r="276" spans="3:4" x14ac:dyDescent="0.7">
      <c r="C276" s="8">
        <v>47903</v>
      </c>
      <c r="D276" s="8"/>
    </row>
    <row r="277" spans="3:4" x14ac:dyDescent="0.7">
      <c r="C277" s="8">
        <v>47928</v>
      </c>
      <c r="D277" s="8"/>
    </row>
    <row r="278" spans="3:4" x14ac:dyDescent="0.7">
      <c r="C278" s="8">
        <v>47967</v>
      </c>
      <c r="D278" s="8"/>
    </row>
    <row r="279" spans="3:4" x14ac:dyDescent="0.7">
      <c r="C279" s="8">
        <v>47971</v>
      </c>
      <c r="D279" s="8"/>
    </row>
    <row r="280" spans="3:4" x14ac:dyDescent="0.7">
      <c r="C280" s="8">
        <v>47972</v>
      </c>
      <c r="D280" s="8"/>
    </row>
    <row r="281" spans="3:4" x14ac:dyDescent="0.7">
      <c r="C281" s="8">
        <v>47973</v>
      </c>
      <c r="D281" s="8"/>
    </row>
    <row r="282" spans="3:4" x14ac:dyDescent="0.7">
      <c r="C282" s="8">
        <v>47974</v>
      </c>
      <c r="D282" s="8"/>
    </row>
    <row r="283" spans="3:4" x14ac:dyDescent="0.7">
      <c r="C283" s="8">
        <v>48050</v>
      </c>
      <c r="D283" s="8"/>
    </row>
    <row r="284" spans="3:4" x14ac:dyDescent="0.7">
      <c r="C284" s="8">
        <v>48071</v>
      </c>
      <c r="D284" s="8"/>
    </row>
    <row r="285" spans="3:4" x14ac:dyDescent="0.7">
      <c r="C285" s="8">
        <v>48106</v>
      </c>
      <c r="D285" s="8"/>
    </row>
    <row r="286" spans="3:4" x14ac:dyDescent="0.7">
      <c r="C286" s="8">
        <v>48114</v>
      </c>
      <c r="D286" s="8"/>
    </row>
    <row r="287" spans="3:4" x14ac:dyDescent="0.7">
      <c r="C287" s="8">
        <v>48134</v>
      </c>
      <c r="D287" s="8"/>
    </row>
    <row r="288" spans="3:4" x14ac:dyDescent="0.7">
      <c r="C288" s="8">
        <v>48155</v>
      </c>
      <c r="D288" s="8"/>
    </row>
    <row r="289" spans="3:4" x14ac:dyDescent="0.7">
      <c r="C289" s="8">
        <v>48175</v>
      </c>
      <c r="D289" s="8"/>
    </row>
    <row r="290" spans="3:4" x14ac:dyDescent="0.7">
      <c r="C290" s="8">
        <v>48176</v>
      </c>
      <c r="D290" s="8"/>
    </row>
    <row r="291" spans="3:4" x14ac:dyDescent="0.7">
      <c r="C291" s="8">
        <v>48214</v>
      </c>
      <c r="D291" s="8"/>
    </row>
    <row r="292" spans="3:4" x14ac:dyDescent="0.7">
      <c r="C292" s="8">
        <v>48225</v>
      </c>
      <c r="D292" s="8"/>
    </row>
    <row r="293" spans="3:4" x14ac:dyDescent="0.7">
      <c r="C293" s="8">
        <v>48255</v>
      </c>
      <c r="D293" s="8"/>
    </row>
    <row r="294" spans="3:4" x14ac:dyDescent="0.7">
      <c r="C294" s="8">
        <v>48267</v>
      </c>
      <c r="D294" s="8"/>
    </row>
    <row r="295" spans="3:4" x14ac:dyDescent="0.7">
      <c r="C295" s="8">
        <v>48293</v>
      </c>
      <c r="D295" s="8"/>
    </row>
    <row r="296" spans="3:4" x14ac:dyDescent="0.7">
      <c r="C296" s="8">
        <v>48333</v>
      </c>
      <c r="D296" s="8"/>
    </row>
    <row r="297" spans="3:4" x14ac:dyDescent="0.7">
      <c r="C297" s="8">
        <v>48337</v>
      </c>
      <c r="D297" s="8"/>
    </row>
    <row r="298" spans="3:4" x14ac:dyDescent="0.7">
      <c r="C298" s="8">
        <v>48338</v>
      </c>
      <c r="D298" s="8"/>
    </row>
    <row r="299" spans="3:4" x14ac:dyDescent="0.7">
      <c r="C299" s="8">
        <v>48339</v>
      </c>
      <c r="D299" s="8"/>
    </row>
    <row r="300" spans="3:4" x14ac:dyDescent="0.7">
      <c r="C300" s="8">
        <v>48414</v>
      </c>
      <c r="D300" s="8"/>
    </row>
    <row r="301" spans="3:4" x14ac:dyDescent="0.7">
      <c r="C301" s="8">
        <v>48437</v>
      </c>
      <c r="D301" s="8"/>
    </row>
    <row r="302" spans="3:4" x14ac:dyDescent="0.7">
      <c r="C302" s="8">
        <v>48477</v>
      </c>
      <c r="D302" s="8"/>
    </row>
    <row r="303" spans="3:4" x14ac:dyDescent="0.7">
      <c r="C303" s="8">
        <v>48478</v>
      </c>
      <c r="D303" s="8"/>
    </row>
    <row r="304" spans="3:4" x14ac:dyDescent="0.7">
      <c r="C304" s="8">
        <v>48479</v>
      </c>
      <c r="D304" s="8"/>
    </row>
    <row r="305" spans="3:4" x14ac:dyDescent="0.7">
      <c r="C305" s="8">
        <v>48498</v>
      </c>
      <c r="D305" s="8"/>
    </row>
    <row r="306" spans="3:4" x14ac:dyDescent="0.7">
      <c r="C306" s="8">
        <v>48521</v>
      </c>
      <c r="D306" s="8"/>
    </row>
    <row r="307" spans="3:4" x14ac:dyDescent="0.7">
      <c r="C307" s="8">
        <v>48541</v>
      </c>
      <c r="D307" s="8"/>
    </row>
    <row r="308" spans="3:4" x14ac:dyDescent="0.7">
      <c r="C308" s="8">
        <v>48580</v>
      </c>
      <c r="D308" s="8"/>
    </row>
    <row r="309" spans="3:4" x14ac:dyDescent="0.7">
      <c r="C309" s="8">
        <v>48589</v>
      </c>
      <c r="D309" s="8"/>
    </row>
    <row r="310" spans="3:4" x14ac:dyDescent="0.7">
      <c r="C310" s="8">
        <v>48621</v>
      </c>
      <c r="D310" s="8"/>
    </row>
    <row r="311" spans="3:4" x14ac:dyDescent="0.7">
      <c r="C311" s="8">
        <v>48633</v>
      </c>
      <c r="D311" s="8"/>
    </row>
    <row r="312" spans="3:4" x14ac:dyDescent="0.7">
      <c r="C312" s="8">
        <v>48658</v>
      </c>
      <c r="D312" s="8"/>
    </row>
    <row r="313" spans="3:4" x14ac:dyDescent="0.7">
      <c r="C313" s="8">
        <v>48659</v>
      </c>
      <c r="D313" s="8"/>
    </row>
    <row r="314" spans="3:4" x14ac:dyDescent="0.7">
      <c r="C314" s="8">
        <v>48698</v>
      </c>
      <c r="D314" s="8"/>
    </row>
    <row r="315" spans="3:4" x14ac:dyDescent="0.7">
      <c r="C315" s="8">
        <v>48702</v>
      </c>
      <c r="D315" s="8"/>
    </row>
    <row r="316" spans="3:4" x14ac:dyDescent="0.7">
      <c r="C316" s="8">
        <v>48703</v>
      </c>
      <c r="D316" s="8"/>
    </row>
    <row r="317" spans="3:4" x14ac:dyDescent="0.7">
      <c r="C317" s="8">
        <v>48704</v>
      </c>
      <c r="D317" s="8"/>
    </row>
    <row r="318" spans="3:4" x14ac:dyDescent="0.7">
      <c r="C318" s="8">
        <v>48778</v>
      </c>
      <c r="D318" s="8"/>
    </row>
    <row r="319" spans="3:4" x14ac:dyDescent="0.7">
      <c r="C319" s="8">
        <v>48802</v>
      </c>
      <c r="D319" s="8"/>
    </row>
    <row r="320" spans="3:4" x14ac:dyDescent="0.7">
      <c r="C320" s="8">
        <v>48841</v>
      </c>
      <c r="D320" s="8"/>
    </row>
    <row r="321" spans="3:4" x14ac:dyDescent="0.7">
      <c r="C321" s="8">
        <v>48845</v>
      </c>
      <c r="D321" s="8"/>
    </row>
    <row r="322" spans="3:4" x14ac:dyDescent="0.7">
      <c r="C322" s="8">
        <v>48862</v>
      </c>
      <c r="D322" s="8"/>
    </row>
    <row r="323" spans="3:4" x14ac:dyDescent="0.7">
      <c r="C323" s="8">
        <v>48886</v>
      </c>
      <c r="D323" s="8"/>
    </row>
    <row r="324" spans="3:4" x14ac:dyDescent="0.7">
      <c r="C324" s="8">
        <v>48906</v>
      </c>
      <c r="D324" s="8"/>
    </row>
    <row r="325" spans="3:4" x14ac:dyDescent="0.7">
      <c r="C325" s="8">
        <v>48945</v>
      </c>
      <c r="D325" s="8"/>
    </row>
    <row r="326" spans="3:4" x14ac:dyDescent="0.7">
      <c r="C326" s="8">
        <v>48946</v>
      </c>
      <c r="D326" s="8"/>
    </row>
    <row r="327" spans="3:4" x14ac:dyDescent="0.7">
      <c r="C327" s="8">
        <v>48953</v>
      </c>
      <c r="D327" s="8"/>
    </row>
    <row r="328" spans="3:4" x14ac:dyDescent="0.7">
      <c r="C328" s="8">
        <v>48986</v>
      </c>
      <c r="D328" s="8"/>
    </row>
    <row r="329" spans="3:4" x14ac:dyDescent="0.7">
      <c r="C329" s="8">
        <v>48998</v>
      </c>
      <c r="D329" s="8"/>
    </row>
    <row r="330" spans="3:4" x14ac:dyDescent="0.7">
      <c r="C330" s="8">
        <v>49023</v>
      </c>
      <c r="D330" s="8"/>
    </row>
    <row r="331" spans="3:4" x14ac:dyDescent="0.7">
      <c r="C331" s="8">
        <v>49063</v>
      </c>
      <c r="D331" s="8"/>
    </row>
    <row r="332" spans="3:4" x14ac:dyDescent="0.7">
      <c r="C332" s="8">
        <v>49067</v>
      </c>
      <c r="D332" s="8"/>
    </row>
    <row r="333" spans="3:4" x14ac:dyDescent="0.7">
      <c r="C333" s="8">
        <v>49068</v>
      </c>
      <c r="D333" s="8"/>
    </row>
    <row r="334" spans="3:4" x14ac:dyDescent="0.7">
      <c r="C334" s="8">
        <v>49069</v>
      </c>
      <c r="D334" s="8"/>
    </row>
    <row r="335" spans="3:4" x14ac:dyDescent="0.7">
      <c r="C335" s="8">
        <v>49142</v>
      </c>
      <c r="D335" s="8"/>
    </row>
    <row r="336" spans="3:4" x14ac:dyDescent="0.7">
      <c r="C336" s="8">
        <v>49167</v>
      </c>
      <c r="D336" s="8"/>
    </row>
    <row r="337" spans="3:4" x14ac:dyDescent="0.7">
      <c r="C337" s="8">
        <v>49205</v>
      </c>
      <c r="D337" s="8"/>
    </row>
    <row r="338" spans="3:4" x14ac:dyDescent="0.7">
      <c r="C338" s="8">
        <v>49210</v>
      </c>
      <c r="D338" s="8"/>
    </row>
    <row r="339" spans="3:4" x14ac:dyDescent="0.7">
      <c r="C339" s="8">
        <v>49226</v>
      </c>
      <c r="D339" s="8"/>
    </row>
    <row r="340" spans="3:4" x14ac:dyDescent="0.7">
      <c r="C340" s="8">
        <v>49251</v>
      </c>
      <c r="D340" s="8"/>
    </row>
    <row r="341" spans="3:4" x14ac:dyDescent="0.7">
      <c r="C341" s="8">
        <v>49271</v>
      </c>
      <c r="D341" s="8"/>
    </row>
    <row r="342" spans="3:4" x14ac:dyDescent="0.7">
      <c r="C342" s="8">
        <v>49310</v>
      </c>
      <c r="D342" s="8"/>
    </row>
    <row r="343" spans="3:4" x14ac:dyDescent="0.7">
      <c r="C343" s="8">
        <v>49317</v>
      </c>
      <c r="D343" s="8"/>
    </row>
    <row r="344" spans="3:4" x14ac:dyDescent="0.7">
      <c r="C344" s="8">
        <v>49351</v>
      </c>
      <c r="D344" s="8"/>
    </row>
    <row r="345" spans="3:4" x14ac:dyDescent="0.7">
      <c r="C345" s="8">
        <v>49352</v>
      </c>
      <c r="D345" s="8"/>
    </row>
    <row r="346" spans="3:4" x14ac:dyDescent="0.7">
      <c r="C346" s="8">
        <v>49363</v>
      </c>
      <c r="D346" s="8"/>
    </row>
    <row r="347" spans="3:4" x14ac:dyDescent="0.7">
      <c r="C347" s="8">
        <v>49389</v>
      </c>
      <c r="D347" s="8"/>
    </row>
    <row r="348" spans="3:4" x14ac:dyDescent="0.7">
      <c r="C348" s="8">
        <v>49428</v>
      </c>
      <c r="D348" s="8"/>
    </row>
    <row r="349" spans="3:4" x14ac:dyDescent="0.7">
      <c r="C349" s="8">
        <v>49429</v>
      </c>
      <c r="D349" s="8"/>
    </row>
    <row r="350" spans="3:4" x14ac:dyDescent="0.7">
      <c r="C350" s="8">
        <v>49432</v>
      </c>
      <c r="D350" s="8"/>
    </row>
    <row r="351" spans="3:4" x14ac:dyDescent="0.7">
      <c r="C351" s="8">
        <v>49433</v>
      </c>
      <c r="D351" s="8"/>
    </row>
    <row r="352" spans="3:4" x14ac:dyDescent="0.7">
      <c r="C352" s="8">
        <v>49434</v>
      </c>
      <c r="D352" s="8"/>
    </row>
    <row r="353" spans="3:4" x14ac:dyDescent="0.7">
      <c r="C353" s="8">
        <v>49506</v>
      </c>
      <c r="D353" s="8"/>
    </row>
    <row r="354" spans="3:4" x14ac:dyDescent="0.7">
      <c r="C354" s="8">
        <v>49532</v>
      </c>
      <c r="D354" s="8"/>
    </row>
    <row r="355" spans="3:4" x14ac:dyDescent="0.7">
      <c r="C355" s="8">
        <v>49569</v>
      </c>
      <c r="D355" s="8"/>
    </row>
    <row r="356" spans="3:4" x14ac:dyDescent="0.7">
      <c r="C356" s="8">
        <v>49575</v>
      </c>
      <c r="D356" s="8"/>
    </row>
    <row r="357" spans="3:4" x14ac:dyDescent="0.7">
      <c r="C357" s="8">
        <v>49576</v>
      </c>
      <c r="D357" s="8"/>
    </row>
    <row r="358" spans="3:4" x14ac:dyDescent="0.7">
      <c r="C358" s="8">
        <v>49590</v>
      </c>
      <c r="D358" s="8"/>
    </row>
    <row r="359" spans="3:4" x14ac:dyDescent="0.7">
      <c r="C359" s="8">
        <v>49616</v>
      </c>
      <c r="D359" s="8"/>
    </row>
    <row r="360" spans="3:4" x14ac:dyDescent="0.7">
      <c r="C360" s="8">
        <v>49636</v>
      </c>
      <c r="D360" s="8"/>
    </row>
    <row r="361" spans="3:4" x14ac:dyDescent="0.7">
      <c r="C361" s="8">
        <v>49675</v>
      </c>
      <c r="D361" s="8"/>
    </row>
    <row r="362" spans="3:4" x14ac:dyDescent="0.7">
      <c r="C362" s="8">
        <v>49688</v>
      </c>
      <c r="D362" s="8"/>
    </row>
    <row r="363" spans="3:4" x14ac:dyDescent="0.7">
      <c r="C363" s="8">
        <v>49716</v>
      </c>
      <c r="D363" s="8"/>
    </row>
    <row r="364" spans="3:4" x14ac:dyDescent="0.7">
      <c r="C364" s="8">
        <v>49728</v>
      </c>
      <c r="D364" s="8"/>
    </row>
    <row r="365" spans="3:4" x14ac:dyDescent="0.7">
      <c r="C365" s="8">
        <v>49754</v>
      </c>
      <c r="D365" s="8"/>
    </row>
    <row r="366" spans="3:4" x14ac:dyDescent="0.7">
      <c r="C366" s="8">
        <v>49794</v>
      </c>
      <c r="D366" s="8"/>
    </row>
    <row r="367" spans="3:4" x14ac:dyDescent="0.7">
      <c r="C367" s="8">
        <v>49798</v>
      </c>
      <c r="D367" s="8"/>
    </row>
    <row r="368" spans="3:4" x14ac:dyDescent="0.7">
      <c r="C368" s="8">
        <v>49799</v>
      </c>
      <c r="D368" s="8"/>
    </row>
    <row r="369" spans="3:4" x14ac:dyDescent="0.7">
      <c r="C369" s="8">
        <v>49800</v>
      </c>
      <c r="D369" s="8"/>
    </row>
    <row r="370" spans="3:4" x14ac:dyDescent="0.7">
      <c r="C370" s="8">
        <v>49801</v>
      </c>
      <c r="D370" s="8"/>
    </row>
    <row r="371" spans="3:4" x14ac:dyDescent="0.7">
      <c r="C371" s="8">
        <v>49877</v>
      </c>
      <c r="D371" s="8"/>
    </row>
    <row r="372" spans="3:4" x14ac:dyDescent="0.7">
      <c r="C372" s="8">
        <v>49898</v>
      </c>
      <c r="D372" s="8"/>
    </row>
    <row r="373" spans="3:4" x14ac:dyDescent="0.7">
      <c r="C373" s="8">
        <v>49933</v>
      </c>
      <c r="D373" s="8"/>
    </row>
    <row r="374" spans="3:4" x14ac:dyDescent="0.7">
      <c r="C374" s="8">
        <v>49940</v>
      </c>
      <c r="D374" s="8"/>
    </row>
    <row r="375" spans="3:4" x14ac:dyDescent="0.7">
      <c r="C375" s="8">
        <v>49961</v>
      </c>
      <c r="D375" s="8"/>
    </row>
    <row r="376" spans="3:4" x14ac:dyDescent="0.7">
      <c r="C376" s="8">
        <v>49982</v>
      </c>
      <c r="D376" s="8"/>
    </row>
    <row r="377" spans="3:4" x14ac:dyDescent="0.7">
      <c r="C377" s="8">
        <v>50002</v>
      </c>
      <c r="D377" s="8"/>
    </row>
    <row r="378" spans="3:4" x14ac:dyDescent="0.7">
      <c r="C378" s="8">
        <v>50003</v>
      </c>
      <c r="D378" s="8"/>
    </row>
    <row r="379" spans="3:4" x14ac:dyDescent="0.7">
      <c r="C379" s="8">
        <v>50041</v>
      </c>
      <c r="D379" s="8"/>
    </row>
    <row r="380" spans="3:4" x14ac:dyDescent="0.7">
      <c r="C380" s="8">
        <v>50052</v>
      </c>
      <c r="D380" s="8"/>
    </row>
    <row r="381" spans="3:4" x14ac:dyDescent="0.7">
      <c r="C381" s="8">
        <v>50082</v>
      </c>
      <c r="D381" s="8"/>
    </row>
    <row r="382" spans="3:4" x14ac:dyDescent="0.7">
      <c r="C382" s="8">
        <v>50094</v>
      </c>
      <c r="D382" s="8"/>
    </row>
    <row r="383" spans="3:4" x14ac:dyDescent="0.7">
      <c r="C383" s="8">
        <v>50119</v>
      </c>
      <c r="D383" s="8"/>
    </row>
    <row r="384" spans="3:4" x14ac:dyDescent="0.7">
      <c r="C384" s="8">
        <v>50159</v>
      </c>
      <c r="D384" s="8"/>
    </row>
    <row r="385" spans="3:4" x14ac:dyDescent="0.7">
      <c r="C385" s="8">
        <v>50163</v>
      </c>
      <c r="D385" s="8"/>
    </row>
    <row r="386" spans="3:4" x14ac:dyDescent="0.7">
      <c r="C386" s="8">
        <v>50164</v>
      </c>
      <c r="D386" s="8"/>
    </row>
    <row r="387" spans="3:4" x14ac:dyDescent="0.7">
      <c r="C387" s="8">
        <v>50165</v>
      </c>
      <c r="D387" s="8"/>
    </row>
    <row r="388" spans="3:4" x14ac:dyDescent="0.7">
      <c r="C388" s="8">
        <v>50166</v>
      </c>
      <c r="D388" s="8"/>
    </row>
    <row r="389" spans="3:4" x14ac:dyDescent="0.7">
      <c r="C389" s="8">
        <v>50241</v>
      </c>
      <c r="D389" s="8"/>
    </row>
    <row r="390" spans="3:4" x14ac:dyDescent="0.7">
      <c r="C390" s="8">
        <v>50263</v>
      </c>
      <c r="D390" s="8"/>
    </row>
    <row r="391" spans="3:4" x14ac:dyDescent="0.7">
      <c r="C391" s="8">
        <v>50304</v>
      </c>
      <c r="D391" s="8"/>
    </row>
    <row r="392" spans="3:4" x14ac:dyDescent="0.7">
      <c r="C392" s="8">
        <v>50305</v>
      </c>
      <c r="D392" s="8"/>
    </row>
    <row r="393" spans="3:4" x14ac:dyDescent="0.7">
      <c r="C393" s="8">
        <v>50306</v>
      </c>
      <c r="D393" s="8"/>
    </row>
    <row r="394" spans="3:4" x14ac:dyDescent="0.7">
      <c r="C394" s="8">
        <v>50325</v>
      </c>
      <c r="D394" s="8"/>
    </row>
    <row r="395" spans="3:4" x14ac:dyDescent="0.7">
      <c r="C395" s="8">
        <v>50347</v>
      </c>
      <c r="D395" s="8"/>
    </row>
    <row r="396" spans="3:4" x14ac:dyDescent="0.7">
      <c r="C396" s="8">
        <v>50367</v>
      </c>
      <c r="D396" s="8"/>
    </row>
    <row r="397" spans="3:4" x14ac:dyDescent="0.7">
      <c r="C397" s="8">
        <v>50406</v>
      </c>
      <c r="D397" s="8"/>
    </row>
    <row r="398" spans="3:4" x14ac:dyDescent="0.7">
      <c r="C398" s="8">
        <v>50416</v>
      </c>
      <c r="D398" s="8"/>
    </row>
    <row r="399" spans="3:4" x14ac:dyDescent="0.7">
      <c r="C399" s="8">
        <v>50447</v>
      </c>
      <c r="D399" s="8"/>
    </row>
    <row r="400" spans="3:4" x14ac:dyDescent="0.7">
      <c r="C400" s="8">
        <v>50459</v>
      </c>
      <c r="D400" s="8"/>
    </row>
    <row r="401" spans="3:4" x14ac:dyDescent="0.7">
      <c r="C401" s="8">
        <v>50484</v>
      </c>
      <c r="D401" s="8"/>
    </row>
    <row r="402" spans="3:4" x14ac:dyDescent="0.7">
      <c r="C402" s="8">
        <v>50524</v>
      </c>
      <c r="D402" s="8"/>
    </row>
    <row r="403" spans="3:4" x14ac:dyDescent="0.7">
      <c r="C403" s="8">
        <v>50528</v>
      </c>
      <c r="D403" s="8"/>
    </row>
    <row r="404" spans="3:4" x14ac:dyDescent="0.7">
      <c r="C404" s="8">
        <v>50529</v>
      </c>
      <c r="D404" s="8"/>
    </row>
    <row r="405" spans="3:4" x14ac:dyDescent="0.7">
      <c r="C405" s="8">
        <v>50530</v>
      </c>
      <c r="D405" s="8"/>
    </row>
    <row r="406" spans="3:4" x14ac:dyDescent="0.7">
      <c r="C406" s="8">
        <v>50605</v>
      </c>
      <c r="D406" s="8"/>
    </row>
    <row r="407" spans="3:4" x14ac:dyDescent="0.7">
      <c r="C407" s="8">
        <v>50628</v>
      </c>
      <c r="D407" s="8"/>
    </row>
    <row r="408" spans="3:4" x14ac:dyDescent="0.7">
      <c r="C408" s="8">
        <v>50668</v>
      </c>
      <c r="D408" s="8"/>
    </row>
    <row r="409" spans="3:4" x14ac:dyDescent="0.7">
      <c r="C409" s="8">
        <v>50671</v>
      </c>
      <c r="D409" s="8"/>
    </row>
    <row r="410" spans="3:4" x14ac:dyDescent="0.7">
      <c r="C410" s="8">
        <v>50689</v>
      </c>
      <c r="D410" s="8"/>
    </row>
    <row r="411" spans="3:4" x14ac:dyDescent="0.7">
      <c r="C411" s="8">
        <v>50712</v>
      </c>
      <c r="D411" s="8"/>
    </row>
    <row r="412" spans="3:4" x14ac:dyDescent="0.7">
      <c r="C412" s="8">
        <v>50732</v>
      </c>
      <c r="D412" s="8"/>
    </row>
    <row r="413" spans="3:4" x14ac:dyDescent="0.7">
      <c r="C413" s="8">
        <v>50771</v>
      </c>
      <c r="D413" s="8"/>
    </row>
    <row r="414" spans="3:4" x14ac:dyDescent="0.7">
      <c r="C414" s="8">
        <v>50780</v>
      </c>
      <c r="D414" s="8"/>
    </row>
    <row r="415" spans="3:4" x14ac:dyDescent="0.7">
      <c r="C415" s="8">
        <v>50812</v>
      </c>
      <c r="D415" s="8"/>
    </row>
    <row r="416" spans="3:4" x14ac:dyDescent="0.7">
      <c r="C416" s="8">
        <v>50824</v>
      </c>
      <c r="D416" s="8"/>
    </row>
    <row r="417" spans="3:4" x14ac:dyDescent="0.7">
      <c r="C417" s="8">
        <v>50850</v>
      </c>
      <c r="D417" s="8"/>
    </row>
    <row r="418" spans="3:4" x14ac:dyDescent="0.7">
      <c r="C418" s="8">
        <v>50889</v>
      </c>
      <c r="D418" s="8"/>
    </row>
    <row r="419" spans="3:4" x14ac:dyDescent="0.7">
      <c r="C419" s="8">
        <v>50893</v>
      </c>
      <c r="D419" s="8"/>
    </row>
    <row r="420" spans="3:4" x14ac:dyDescent="0.7">
      <c r="C420" s="8">
        <v>50894</v>
      </c>
      <c r="D420" s="8"/>
    </row>
    <row r="421" spans="3:4" x14ac:dyDescent="0.7">
      <c r="C421" s="8">
        <v>50895</v>
      </c>
      <c r="D421" s="8"/>
    </row>
    <row r="422" spans="3:4" x14ac:dyDescent="0.7">
      <c r="C422" s="8">
        <v>50969</v>
      </c>
      <c r="D422" s="8"/>
    </row>
    <row r="423" spans="3:4" x14ac:dyDescent="0.7">
      <c r="C423" s="8">
        <v>50993</v>
      </c>
      <c r="D423" s="8"/>
    </row>
    <row r="424" spans="3:4" x14ac:dyDescent="0.7">
      <c r="C424" s="8">
        <v>51032</v>
      </c>
      <c r="D424" s="8"/>
    </row>
    <row r="425" spans="3:4" x14ac:dyDescent="0.7">
      <c r="C425" s="8">
        <v>51036</v>
      </c>
      <c r="D425" s="8"/>
    </row>
    <row r="426" spans="3:4" x14ac:dyDescent="0.7">
      <c r="C426" s="8">
        <v>51053</v>
      </c>
      <c r="D426" s="8"/>
    </row>
    <row r="427" spans="3:4" x14ac:dyDescent="0.7">
      <c r="C427" s="8">
        <v>51077</v>
      </c>
      <c r="D427" s="8"/>
    </row>
    <row r="428" spans="3:4" x14ac:dyDescent="0.7">
      <c r="C428" s="8">
        <v>51097</v>
      </c>
      <c r="D428" s="8"/>
    </row>
    <row r="429" spans="3:4" x14ac:dyDescent="0.7">
      <c r="C429" s="8">
        <v>51136</v>
      </c>
      <c r="D429" s="8"/>
    </row>
    <row r="430" spans="3:4" x14ac:dyDescent="0.7">
      <c r="C430" s="8">
        <v>51137</v>
      </c>
      <c r="D430" s="8"/>
    </row>
    <row r="431" spans="3:4" x14ac:dyDescent="0.7">
      <c r="C431" s="8">
        <v>51144</v>
      </c>
      <c r="D431" s="8"/>
    </row>
    <row r="432" spans="3:4" x14ac:dyDescent="0.7">
      <c r="C432" s="8">
        <v>51177</v>
      </c>
      <c r="D432" s="8"/>
    </row>
    <row r="433" spans="3:4" x14ac:dyDescent="0.7">
      <c r="C433" s="8">
        <v>51189</v>
      </c>
      <c r="D433" s="8"/>
    </row>
    <row r="434" spans="3:4" x14ac:dyDescent="0.7">
      <c r="C434" s="8">
        <v>51215</v>
      </c>
      <c r="D434" s="8"/>
    </row>
    <row r="435" spans="3:4" x14ac:dyDescent="0.7">
      <c r="C435" s="8">
        <v>51255</v>
      </c>
      <c r="D435" s="8"/>
    </row>
    <row r="436" spans="3:4" x14ac:dyDescent="0.7">
      <c r="C436" s="8">
        <v>51256</v>
      </c>
      <c r="D436" s="8"/>
    </row>
    <row r="437" spans="3:4" x14ac:dyDescent="0.7">
      <c r="C437" s="8">
        <v>51259</v>
      </c>
      <c r="D437" s="8"/>
    </row>
    <row r="438" spans="3:4" x14ac:dyDescent="0.7">
      <c r="C438" s="8">
        <v>51260</v>
      </c>
      <c r="D438" s="8"/>
    </row>
    <row r="439" spans="3:4" x14ac:dyDescent="0.7">
      <c r="C439" s="8">
        <v>51261</v>
      </c>
      <c r="D439" s="8"/>
    </row>
    <row r="440" spans="3:4" x14ac:dyDescent="0.7">
      <c r="C440" s="8">
        <v>51333</v>
      </c>
      <c r="D440" s="8"/>
    </row>
    <row r="441" spans="3:4" x14ac:dyDescent="0.7">
      <c r="C441" s="8">
        <v>51359</v>
      </c>
      <c r="D441" s="8"/>
    </row>
    <row r="442" spans="3:4" x14ac:dyDescent="0.7">
      <c r="C442" s="8">
        <v>51396</v>
      </c>
      <c r="D442" s="8"/>
    </row>
    <row r="443" spans="3:4" x14ac:dyDescent="0.7">
      <c r="C443" s="8">
        <v>51401</v>
      </c>
      <c r="D443" s="8"/>
    </row>
    <row r="444" spans="3:4" x14ac:dyDescent="0.7">
      <c r="C444" s="8">
        <v>51417</v>
      </c>
      <c r="D444" s="8"/>
    </row>
    <row r="445" spans="3:4" x14ac:dyDescent="0.7">
      <c r="C445" s="8">
        <v>51443</v>
      </c>
      <c r="D445" s="8"/>
    </row>
    <row r="446" spans="3:4" x14ac:dyDescent="0.7">
      <c r="C446" s="8">
        <v>51463</v>
      </c>
      <c r="D446" s="8"/>
    </row>
    <row r="447" spans="3:4" x14ac:dyDescent="0.7">
      <c r="C447" s="8">
        <v>51502</v>
      </c>
      <c r="D447" s="8"/>
    </row>
    <row r="448" spans="3:4" x14ac:dyDescent="0.7">
      <c r="C448" s="8">
        <v>51515</v>
      </c>
      <c r="D448" s="8"/>
    </row>
    <row r="449" spans="3:4" x14ac:dyDescent="0.7">
      <c r="C449" s="8">
        <v>51543</v>
      </c>
      <c r="D449" s="8"/>
    </row>
    <row r="450" spans="3:4" x14ac:dyDescent="0.7">
      <c r="C450" s="8">
        <v>51555</v>
      </c>
      <c r="D450" s="8"/>
    </row>
    <row r="451" spans="3:4" x14ac:dyDescent="0.7">
      <c r="C451" s="8">
        <v>51580</v>
      </c>
      <c r="D451" s="8"/>
    </row>
    <row r="452" spans="3:4" x14ac:dyDescent="0.7">
      <c r="C452" s="8">
        <v>51620</v>
      </c>
      <c r="D452" s="8"/>
    </row>
    <row r="453" spans="3:4" x14ac:dyDescent="0.7">
      <c r="C453" s="8">
        <v>51624</v>
      </c>
      <c r="D453" s="8"/>
    </row>
    <row r="454" spans="3:4" x14ac:dyDescent="0.7">
      <c r="C454" s="8">
        <v>51625</v>
      </c>
      <c r="D454" s="8"/>
    </row>
    <row r="455" spans="3:4" x14ac:dyDescent="0.7">
      <c r="C455" s="8">
        <v>51626</v>
      </c>
      <c r="D455" s="8"/>
    </row>
    <row r="456" spans="3:4" x14ac:dyDescent="0.7">
      <c r="C456" s="8">
        <v>51627</v>
      </c>
      <c r="D456" s="8"/>
    </row>
    <row r="457" spans="3:4" x14ac:dyDescent="0.7">
      <c r="C457" s="8">
        <v>51697</v>
      </c>
      <c r="D457" s="8"/>
    </row>
    <row r="458" spans="3:4" x14ac:dyDescent="0.7">
      <c r="C458" s="8">
        <v>51724</v>
      </c>
      <c r="D458" s="8"/>
    </row>
    <row r="459" spans="3:4" x14ac:dyDescent="0.7">
      <c r="C459" s="8">
        <v>51725</v>
      </c>
      <c r="D459" s="8"/>
    </row>
    <row r="460" spans="3:4" x14ac:dyDescent="0.7">
      <c r="C460" s="8">
        <v>51760</v>
      </c>
      <c r="D460" s="8"/>
    </row>
    <row r="461" spans="3:4" x14ac:dyDescent="0.7">
      <c r="C461" s="8">
        <v>51767</v>
      </c>
      <c r="D461" s="8"/>
    </row>
    <row r="462" spans="3:4" x14ac:dyDescent="0.7">
      <c r="C462" s="8">
        <v>51788</v>
      </c>
      <c r="D462" s="8"/>
    </row>
    <row r="463" spans="3:4" x14ac:dyDescent="0.7">
      <c r="C463" s="8">
        <v>51808</v>
      </c>
      <c r="D463" s="8"/>
    </row>
    <row r="464" spans="3:4" x14ac:dyDescent="0.7">
      <c r="C464" s="8">
        <v>51809</v>
      </c>
      <c r="D464" s="8"/>
    </row>
    <row r="465" spans="3:4" x14ac:dyDescent="0.7">
      <c r="C465" s="8">
        <v>51828</v>
      </c>
      <c r="D465" s="8"/>
    </row>
    <row r="466" spans="3:4" x14ac:dyDescent="0.7">
      <c r="C466" s="8">
        <v>51867</v>
      </c>
      <c r="D466" s="8"/>
    </row>
    <row r="467" spans="3:4" x14ac:dyDescent="0.7">
      <c r="C467" s="8">
        <v>51879</v>
      </c>
      <c r="D467" s="8"/>
    </row>
    <row r="468" spans="3:4" x14ac:dyDescent="0.7">
      <c r="C468" s="8">
        <v>51908</v>
      </c>
      <c r="D468" s="8"/>
    </row>
    <row r="469" spans="3:4" x14ac:dyDescent="0.7">
      <c r="C469" s="8">
        <v>51920</v>
      </c>
      <c r="D469" s="8"/>
    </row>
    <row r="470" spans="3:4" x14ac:dyDescent="0.7">
      <c r="C470" s="8">
        <v>51921</v>
      </c>
      <c r="D470" s="8"/>
    </row>
    <row r="471" spans="3:4" x14ac:dyDescent="0.7">
      <c r="C471" s="8">
        <v>51945</v>
      </c>
      <c r="D471" s="8"/>
    </row>
    <row r="472" spans="3:4" x14ac:dyDescent="0.7">
      <c r="C472" s="8">
        <v>51985</v>
      </c>
      <c r="D472" s="8"/>
    </row>
    <row r="473" spans="3:4" x14ac:dyDescent="0.7">
      <c r="C473" s="8">
        <v>51989</v>
      </c>
      <c r="D473" s="8"/>
    </row>
    <row r="474" spans="3:4" x14ac:dyDescent="0.7">
      <c r="C474" s="8">
        <v>51990</v>
      </c>
      <c r="D474" s="8"/>
    </row>
    <row r="475" spans="3:4" x14ac:dyDescent="0.7">
      <c r="C475" s="8">
        <v>51991</v>
      </c>
      <c r="D475" s="8"/>
    </row>
    <row r="476" spans="3:4" x14ac:dyDescent="0.7">
      <c r="C476" s="8">
        <v>51992</v>
      </c>
      <c r="D476" s="8"/>
    </row>
    <row r="477" spans="3:4" x14ac:dyDescent="0.7">
      <c r="C477" s="8">
        <v>52068</v>
      </c>
      <c r="D477" s="8"/>
    </row>
    <row r="478" spans="3:4" x14ac:dyDescent="0.7">
      <c r="C478" s="8">
        <v>52089</v>
      </c>
      <c r="D478" s="8"/>
    </row>
    <row r="479" spans="3:4" x14ac:dyDescent="0.7">
      <c r="C479" s="8">
        <v>52124</v>
      </c>
      <c r="D479" s="8"/>
    </row>
    <row r="480" spans="3:4" x14ac:dyDescent="0.7">
      <c r="C480" s="8">
        <v>52132</v>
      </c>
      <c r="D480" s="8"/>
    </row>
    <row r="481" spans="3:4" x14ac:dyDescent="0.7">
      <c r="C481" s="8">
        <v>52152</v>
      </c>
      <c r="D481" s="8"/>
    </row>
    <row r="482" spans="3:4" x14ac:dyDescent="0.7">
      <c r="C482" s="8">
        <v>52173</v>
      </c>
      <c r="D482" s="8"/>
    </row>
    <row r="483" spans="3:4" x14ac:dyDescent="0.7">
      <c r="C483" s="8">
        <v>52193</v>
      </c>
      <c r="D483" s="8"/>
    </row>
    <row r="484" spans="3:4" x14ac:dyDescent="0.7">
      <c r="C484" s="8">
        <v>52194</v>
      </c>
      <c r="D484" s="8"/>
    </row>
    <row r="485" spans="3:4" x14ac:dyDescent="0.7">
      <c r="C485" s="8">
        <v>52232</v>
      </c>
      <c r="D485" s="8"/>
    </row>
    <row r="486" spans="3:4" x14ac:dyDescent="0.7">
      <c r="C486" s="8">
        <v>52243</v>
      </c>
      <c r="D486" s="8"/>
    </row>
    <row r="487" spans="3:4" x14ac:dyDescent="0.7">
      <c r="C487" s="8">
        <v>52273</v>
      </c>
      <c r="D487" s="8"/>
    </row>
    <row r="488" spans="3:4" x14ac:dyDescent="0.7">
      <c r="C488" s="8">
        <v>52285</v>
      </c>
      <c r="D488" s="8"/>
    </row>
    <row r="489" spans="3:4" x14ac:dyDescent="0.7">
      <c r="C489" s="8">
        <v>52311</v>
      </c>
      <c r="D489" s="8"/>
    </row>
    <row r="490" spans="3:4" x14ac:dyDescent="0.7">
      <c r="C490" s="8">
        <v>52350</v>
      </c>
      <c r="D490" s="8"/>
    </row>
    <row r="491" spans="3:4" x14ac:dyDescent="0.7">
      <c r="C491" s="8">
        <v>52354</v>
      </c>
      <c r="D491" s="8"/>
    </row>
    <row r="492" spans="3:4" x14ac:dyDescent="0.7">
      <c r="C492" s="8">
        <v>52355</v>
      </c>
      <c r="D492" s="8"/>
    </row>
    <row r="493" spans="3:4" x14ac:dyDescent="0.7">
      <c r="C493" s="8">
        <v>52356</v>
      </c>
      <c r="D493" s="8"/>
    </row>
    <row r="494" spans="3:4" x14ac:dyDescent="0.7">
      <c r="C494" s="8">
        <v>52357</v>
      </c>
      <c r="D494" s="8"/>
    </row>
    <row r="495" spans="3:4" x14ac:dyDescent="0.7">
      <c r="C495" s="8">
        <v>52432</v>
      </c>
      <c r="D495" s="8"/>
    </row>
    <row r="496" spans="3:4" x14ac:dyDescent="0.7">
      <c r="C496" s="8">
        <v>52454</v>
      </c>
      <c r="D496" s="8"/>
    </row>
    <row r="497" spans="3:4" x14ac:dyDescent="0.7">
      <c r="C497" s="8">
        <v>52495</v>
      </c>
      <c r="D497" s="8"/>
    </row>
    <row r="498" spans="3:4" x14ac:dyDescent="0.7">
      <c r="C498" s="8">
        <v>52496</v>
      </c>
      <c r="D498" s="8"/>
    </row>
    <row r="499" spans="3:4" x14ac:dyDescent="0.7">
      <c r="C499" s="8">
        <v>52497</v>
      </c>
      <c r="D499" s="8"/>
    </row>
    <row r="500" spans="3:4" x14ac:dyDescent="0.7">
      <c r="C500" s="8">
        <v>52516</v>
      </c>
      <c r="D500" s="8"/>
    </row>
    <row r="501" spans="3:4" x14ac:dyDescent="0.7">
      <c r="C501" s="8">
        <v>52538</v>
      </c>
      <c r="D501" s="8"/>
    </row>
    <row r="502" spans="3:4" x14ac:dyDescent="0.7">
      <c r="C502" s="8">
        <v>52558</v>
      </c>
      <c r="D502" s="8"/>
    </row>
    <row r="503" spans="3:4" x14ac:dyDescent="0.7">
      <c r="C503" s="8">
        <v>52597</v>
      </c>
      <c r="D503" s="8"/>
    </row>
    <row r="504" spans="3:4" x14ac:dyDescent="0.7">
      <c r="C504" s="8">
        <v>52607</v>
      </c>
      <c r="D504" s="8"/>
    </row>
    <row r="505" spans="3:4" x14ac:dyDescent="0.7">
      <c r="C505" s="8">
        <v>52638</v>
      </c>
      <c r="D505" s="8"/>
    </row>
    <row r="506" spans="3:4" x14ac:dyDescent="0.7">
      <c r="C506" s="8">
        <v>52650</v>
      </c>
      <c r="D506" s="8"/>
    </row>
    <row r="507" spans="3:4" x14ac:dyDescent="0.7">
      <c r="C507" s="8">
        <v>52676</v>
      </c>
      <c r="D507" s="8"/>
    </row>
    <row r="508" spans="3:4" x14ac:dyDescent="0.7">
      <c r="C508" s="8">
        <v>52677</v>
      </c>
      <c r="D508" s="8"/>
    </row>
    <row r="509" spans="3:4" x14ac:dyDescent="0.7">
      <c r="C509" s="8">
        <v>52716</v>
      </c>
      <c r="D509" s="8"/>
    </row>
    <row r="510" spans="3:4" x14ac:dyDescent="0.7">
      <c r="C510" s="8">
        <v>52720</v>
      </c>
      <c r="D510" s="8"/>
    </row>
    <row r="511" spans="3:4" x14ac:dyDescent="0.7">
      <c r="C511" s="8">
        <v>52721</v>
      </c>
      <c r="D511" s="8"/>
    </row>
    <row r="512" spans="3:4" x14ac:dyDescent="0.7">
      <c r="C512" s="8">
        <v>52722</v>
      </c>
      <c r="D512" s="8"/>
    </row>
    <row r="513" spans="3:4" x14ac:dyDescent="0.7">
      <c r="C513" s="8">
        <v>52796</v>
      </c>
      <c r="D513" s="8"/>
    </row>
    <row r="514" spans="3:4" x14ac:dyDescent="0.7">
      <c r="C514" s="8">
        <v>52820</v>
      </c>
      <c r="D514" s="8"/>
    </row>
    <row r="515" spans="3:4" x14ac:dyDescent="0.7">
      <c r="C515" s="8">
        <v>52859</v>
      </c>
      <c r="D515" s="8"/>
    </row>
    <row r="516" spans="3:4" x14ac:dyDescent="0.7">
      <c r="C516" s="8">
        <v>52862</v>
      </c>
      <c r="D516" s="8"/>
    </row>
    <row r="517" spans="3:4" x14ac:dyDescent="0.7">
      <c r="C517" s="8">
        <v>52880</v>
      </c>
      <c r="D517" s="8"/>
    </row>
    <row r="518" spans="3:4" x14ac:dyDescent="0.7">
      <c r="C518" s="8">
        <v>52904</v>
      </c>
      <c r="D518" s="8"/>
    </row>
    <row r="519" spans="3:4" x14ac:dyDescent="0.7">
      <c r="C519" s="8">
        <v>52924</v>
      </c>
      <c r="D519" s="8"/>
    </row>
    <row r="520" spans="3:4" x14ac:dyDescent="0.7">
      <c r="C520" s="8">
        <v>52963</v>
      </c>
      <c r="D520" s="8"/>
    </row>
    <row r="521" spans="3:4" x14ac:dyDescent="0.7">
      <c r="C521" s="8">
        <v>52964</v>
      </c>
      <c r="D521" s="8"/>
    </row>
    <row r="522" spans="3:4" x14ac:dyDescent="0.7">
      <c r="C522" s="8">
        <v>52971</v>
      </c>
      <c r="D522" s="8"/>
    </row>
    <row r="523" spans="3:4" x14ac:dyDescent="0.7">
      <c r="C523" s="8">
        <v>53004</v>
      </c>
      <c r="D523" s="8"/>
    </row>
    <row r="524" spans="3:4" x14ac:dyDescent="0.7">
      <c r="C524" s="8">
        <v>53016</v>
      </c>
      <c r="D524" s="8"/>
    </row>
    <row r="525" spans="3:4" x14ac:dyDescent="0.7">
      <c r="C525" s="8">
        <v>53041</v>
      </c>
      <c r="D525" s="8"/>
    </row>
    <row r="526" spans="3:4" x14ac:dyDescent="0.7">
      <c r="C526" s="8">
        <v>53081</v>
      </c>
      <c r="D526" s="8"/>
    </row>
    <row r="527" spans="3:4" x14ac:dyDescent="0.7">
      <c r="C527" s="8">
        <v>53085</v>
      </c>
      <c r="D527" s="8"/>
    </row>
    <row r="528" spans="3:4" x14ac:dyDescent="0.7">
      <c r="C528" s="8">
        <v>53086</v>
      </c>
      <c r="D528" s="8"/>
    </row>
    <row r="529" spans="3:4" x14ac:dyDescent="0.7">
      <c r="C529" s="8">
        <v>53087</v>
      </c>
      <c r="D529" s="8"/>
    </row>
    <row r="530" spans="3:4" x14ac:dyDescent="0.7">
      <c r="C530" s="8">
        <v>53160</v>
      </c>
      <c r="D530" s="8"/>
    </row>
    <row r="531" spans="3:4" x14ac:dyDescent="0.7">
      <c r="C531" s="8">
        <v>53185</v>
      </c>
      <c r="D531" s="8"/>
    </row>
    <row r="532" spans="3:4" x14ac:dyDescent="0.7">
      <c r="C532" s="8">
        <v>53223</v>
      </c>
      <c r="D532" s="8"/>
    </row>
    <row r="533" spans="3:4" x14ac:dyDescent="0.7">
      <c r="C533" s="8">
        <v>53227</v>
      </c>
      <c r="D533" s="8"/>
    </row>
    <row r="534" spans="3:4" x14ac:dyDescent="0.7">
      <c r="C534" s="8">
        <v>53244</v>
      </c>
      <c r="D534" s="8"/>
    </row>
    <row r="535" spans="3:4" x14ac:dyDescent="0.7">
      <c r="C535" s="8">
        <v>53269</v>
      </c>
      <c r="D535" s="8"/>
    </row>
    <row r="536" spans="3:4" x14ac:dyDescent="0.7">
      <c r="C536" s="8">
        <v>53289</v>
      </c>
      <c r="D536" s="8"/>
    </row>
    <row r="537" spans="3:4" x14ac:dyDescent="0.7">
      <c r="C537" s="8">
        <v>53328</v>
      </c>
      <c r="D537" s="8"/>
    </row>
    <row r="538" spans="3:4" x14ac:dyDescent="0.7">
      <c r="C538" s="8">
        <v>53335</v>
      </c>
      <c r="D538" s="8"/>
    </row>
    <row r="539" spans="3:4" x14ac:dyDescent="0.7">
      <c r="C539" s="8">
        <v>53369</v>
      </c>
      <c r="D539" s="8"/>
    </row>
    <row r="540" spans="3:4" x14ac:dyDescent="0.7">
      <c r="C540" s="8">
        <v>53370</v>
      </c>
      <c r="D540" s="8"/>
    </row>
    <row r="541" spans="3:4" x14ac:dyDescent="0.7">
      <c r="C541" s="8">
        <v>53381</v>
      </c>
      <c r="D541" s="8"/>
    </row>
    <row r="542" spans="3:4" x14ac:dyDescent="0.7">
      <c r="C542" s="8">
        <v>53406</v>
      </c>
      <c r="D542" s="8"/>
    </row>
    <row r="543" spans="3:4" x14ac:dyDescent="0.7">
      <c r="C543" s="8">
        <v>53446</v>
      </c>
      <c r="D543" s="8"/>
    </row>
    <row r="544" spans="3:4" x14ac:dyDescent="0.7">
      <c r="C544" s="8">
        <v>53447</v>
      </c>
      <c r="D544" s="8"/>
    </row>
    <row r="545" spans="3:4" x14ac:dyDescent="0.7">
      <c r="C545" s="8">
        <v>53450</v>
      </c>
      <c r="D545" s="8"/>
    </row>
    <row r="546" spans="3:4" x14ac:dyDescent="0.7">
      <c r="C546" s="8">
        <v>53451</v>
      </c>
      <c r="D546" s="8"/>
    </row>
    <row r="547" spans="3:4" x14ac:dyDescent="0.7">
      <c r="C547" s="8">
        <v>53452</v>
      </c>
      <c r="D547" s="8"/>
    </row>
    <row r="548" spans="3:4" x14ac:dyDescent="0.7">
      <c r="C548" s="8">
        <v>53524</v>
      </c>
      <c r="D548" s="8"/>
    </row>
    <row r="549" spans="3:4" x14ac:dyDescent="0.7">
      <c r="C549" s="8">
        <v>53550</v>
      </c>
      <c r="D549" s="8"/>
    </row>
    <row r="550" spans="3:4" x14ac:dyDescent="0.7">
      <c r="C550" s="8">
        <v>53587</v>
      </c>
      <c r="D550" s="8"/>
    </row>
    <row r="551" spans="3:4" x14ac:dyDescent="0.7">
      <c r="C551" s="8">
        <v>53593</v>
      </c>
      <c r="D551" s="8"/>
    </row>
    <row r="552" spans="3:4" x14ac:dyDescent="0.7">
      <c r="C552" s="8">
        <v>53594</v>
      </c>
      <c r="D552" s="8"/>
    </row>
    <row r="553" spans="3:4" x14ac:dyDescent="0.7">
      <c r="C553" s="8">
        <v>53608</v>
      </c>
      <c r="D553" s="8"/>
    </row>
    <row r="554" spans="3:4" x14ac:dyDescent="0.7">
      <c r="C554" s="8">
        <v>53634</v>
      </c>
      <c r="D554" s="8"/>
    </row>
    <row r="555" spans="3:4" x14ac:dyDescent="0.7">
      <c r="C555" s="8">
        <v>53654</v>
      </c>
      <c r="D555" s="8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loadCalendarsAndRefresh">
                <anchor moveWithCells="1" sizeWithCells="1">
                  <from>
                    <xdr:col>3</xdr:col>
                    <xdr:colOff>290513</xdr:colOff>
                    <xdr:row>0</xdr:row>
                    <xdr:rowOff>114300</xdr:rowOff>
                  </from>
                  <to>
                    <xdr:col>7</xdr:col>
                    <xdr:colOff>638175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Sample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mugen fugafuga</dc:creator>
  <cp:lastModifiedBy>mugen fugafuga</cp:lastModifiedBy>
  <dcterms:created xsi:type="dcterms:W3CDTF">2024-02-01T14:22:05Z</dcterms:created>
  <dcterms:modified xsi:type="dcterms:W3CDTF">2024-02-03T13:23:45Z</dcterms:modified>
</cp:coreProperties>
</file>